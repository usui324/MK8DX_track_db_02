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539C9BD7-2B36-4623-8624-DB7F677A0BFC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-110" yWindow="-110" windowWidth="22780" windowHeight="1466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3" l="1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<sst xmlns="http://schemas.openxmlformats.org/spreadsheetml/2006/main" count="819" uniqueCount="442">
  <si>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</si>
  <si>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</si>
  <si>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</si>
  <si>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</si>
  <si>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</si>
  <si>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</si>
  <si>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</si>
  <si>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</si>
  <si>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</si>
  <si>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</si>
  <si>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</si>
  <si>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</si>
  <si>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</si>
  <si>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</si>
  <si>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</si>
  <si>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</si>
  <si>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</si>
  <si>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</si>
  <si>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</si>
  <si>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</si>
  <si>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</si>
  <si>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</si>
  <si>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</si>
  <si>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</si>
  <si>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</si>
  <si>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</si>
  <si>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</si>
  <si>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</si>
  <si>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</si>
  <si>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</si>
  <si>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</si>
  <si>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</si>
  <si>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</si>
  <si>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</si>
  <si>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</si>
  <si>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</si>
  <si>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</si>
  <si>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</si>
  <si>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</si>
  <si>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</si>
  <si>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</si>
  <si>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</si>
  <si>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</si>
  <si>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</si>
  <si>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</si>
  <si>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</si>
  <si>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</si>
  <si>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</si>
  <si>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</si>
  <si>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</si>
  <si>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</si>
  <si>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</si>
  <si>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</si>
  <si>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</si>
  <si>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</si>
  <si>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</si>
  <si>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</si>
  <si>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</si>
  <si>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</si>
  <si>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</si>
  <si>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</si>
  <si>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</si>
  <si>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</si>
  <si>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</si>
  <si>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</si>
  <si>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</si>
  <si>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</si>
  <si>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</si>
  <si>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</si>
  <si>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</si>
  <si>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</si>
  <si>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</si>
  <si>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</si>
  <si>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</si>
  <si>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</si>
  <si>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</si>
  <si>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</si>
  <si>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</si>
  <si>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</si>
  <si>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</si>
  <si>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</si>
  <si>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</si>
  <si>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</si>
  <si>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</si>
  <si>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</si>
  <si>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</si>
  <si>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</si>
  <si>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</si>
  <si>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</si>
  <si>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</si>
  <si>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</si>
  <si>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</si>
  <si>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</si>
  <si>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</si>
  <si>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</si>
  <si>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</si>
  <si>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</si>
  <si>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</si>
  <si>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</si>
  <si>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</si>
  <si>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</si>
  <si>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</si>
  <si>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</si>
  <si>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</si>
  <si>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</si>
  <si>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</si>
  <si>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</si>
  <si>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</si>
  <si>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</si>
  <si>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</si>
  <si>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</si>
  <si>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</si>
  <si>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</si>
  <si>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</si>
  <si>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</si>
  <si>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</si>
  <si>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</si>
  <si>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</si>
  <si>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</si>
  <si>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</si>
  <si>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</si>
  <si>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</si>
  <si>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</si>
  <si>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</si>
  <si>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</si>
  <si>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</si>
  <si>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</si>
  <si>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</si>
  <si>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</si>
  <si>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</si>
  <si>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</si>
  <si>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</si>
  <si>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</si>
  <si>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</si>
  <si>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</si>
  <si>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</si>
  <si>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</si>
  <si>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</si>
  <si>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</si>
  <si>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</si>
  <si>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</si>
  <si>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</si>
  <si>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</si>
  <si>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</si>
  <si>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</si>
  <si>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</si>
  <si>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</si>
  <si>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</si>
  <si>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</si>
  <si>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</si>
  <si>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</si>
  <si>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</si>
  <si>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</si>
  <si>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</si>
  <si>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</si>
  <si>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</si>
  <si>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</si>
  <si>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</si>
  <si>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</si>
  <si>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</si>
  <si>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</si>
  <si>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</si>
  <si>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</si>
  <si>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</si>
  <si>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</si>
  <si>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</si>
  <si>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</si>
  <si>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</si>
  <si>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</si>
  <si>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</si>
  <si>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</si>
  <si>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</si>
  <si>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</si>
  <si>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</si>
  <si>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</si>
  <si>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</si>
  <si>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</si>
  <si>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</si>
  <si>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</si>
  <si>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</si>
  <si>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</si>
  <si>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</si>
  <si>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</si>
  <si>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</si>
  <si>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</si>
  <si>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</si>
  <si>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</si>
  <si>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</si>
  <si>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</si>
  <si>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</si>
  <si>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</si>
  <si>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</si>
  <si>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</si>
  <si>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</si>
  <si>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</si>
  <si>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</si>
  <si>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</si>
  <si>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</si>
  <si>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</si>
  <si>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</si>
  <si>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</si>
  <si>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</si>
  <si>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</si>
  <si>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</si>
  <si>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</si>
  <si>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</si>
  <si>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</si>
  <si>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</si>
  <si>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</si>
  <si>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</si>
  <si>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</si>
  <si>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</si>
  <si>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</si>
  <si>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</si>
  <si>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</si>
  <si>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</si>
  <si>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</si>
  <si>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</si>
  <si>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</si>
  <si>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</si>
  <si>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</si>
  <si>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</si>
  <si>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</si>
  <si>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</si>
  <si>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</si>
  <si>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</si>
  <si>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</si>
  <si>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</si>
  <si>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</si>
  <si>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</si>
  <si>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</si>
  <si>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</si>
  <si>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</si>
  <si>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</si>
  <si>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</si>
  <si>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</si>
  <si>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</si>
  <si>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</si>
  <si>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</si>
  <si>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</si>
  <si>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</si>
  <si>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</si>
  <si>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</si>
  <si>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</si>
  <si>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</si>
  <si>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</si>
  <si>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</si>
  <si>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</si>
  <si>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</si>
  <si>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</si>
  <si>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</si>
  <si>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</si>
  <si>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</si>
  <si>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</si>
  <si>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</si>
  <si>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</si>
  <si>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</si>
  <si>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</si>
  <si>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</si>
  <si>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</si>
  <si>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</si>
  <si>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</si>
  <si>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</si>
  <si>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</si>
  <si>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</si>
  <si>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</si>
  <si>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</si>
  <si>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</si>
  <si>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</si>
  <si>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</si>
  <si>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</si>
  <si>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</si>
  <si>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</si>
  <si>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</si>
  <si>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</si>
  <si>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</si>
  <si>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</si>
  <si>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</si>
  <si>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</si>
  <si>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</si>
  <si>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</si>
  <si>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</si>
  <si>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</si>
  <si>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</si>
  <si>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</si>
  <si>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</si>
  <si>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</si>
  <si>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</si>
  <si>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</si>
  <si>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</si>
  <si>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</si>
  <si>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</si>
  <si>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</si>
  <si>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</si>
  <si>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</si>
  <si>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</si>
  <si>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</si>
  <si>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</si>
  <si>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</si>
  <si>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</si>
  <si>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</si>
  <si>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</si>
  <si>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</si>
  <si>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</si>
  <si>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</si>
  <si>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</si>
  <si>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</si>
  <si>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</si>
  <si>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</si>
  <si>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</si>
  <si>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</si>
  <si>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</si>
  <si>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</si>
  <si>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</si>
  <si>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</si>
  <si>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</si>
  <si>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</si>
  <si>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</si>
  <si>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</si>
  <si>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</si>
  <si>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</si>
  <si>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</si>
  <si>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</si>
  <si>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</si>
  <si>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</si>
  <si>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</si>
  <si>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</si>
  <si>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</si>
  <si>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</si>
  <si>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</si>
  <si>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</si>
  <si>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</si>
  <si>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</si>
  <si>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</si>
  <si>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</si>
  <si>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</si>
  <si>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</si>
  <si>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</si>
  <si>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</si>
  <si>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</si>
  <si>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</si>
  <si>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</si>
  <si>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</si>
  <si>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</si>
  <si>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</si>
  <si>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</si>
  <si>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</si>
  <si>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</si>
  <si>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</si>
  <si>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</si>
  <si>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</si>
  <si>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</si>
  <si>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</si>
  <si>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</si>
  <si>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</si>
  <si>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</si>
  <si>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</si>
  <si>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</si>
  <si>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</si>
  <si>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</si>
  <si>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</si>
  <si>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</si>
  <si>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</si>
  <si>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</si>
  <si>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</si>
  <si>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</si>
  <si>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</si>
  <si>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</si>
  <si>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</si>
  <si>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</si>
  <si>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</si>
  <si>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</si>
  <si>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</si>
  <si>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</si>
  <si>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</si>
  <si>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</si>
  <si>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</si>
  <si>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</si>
  <si>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</si>
  <si>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</si>
  <si>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</si>
  <si>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</si>
  <si>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</si>
  <si>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</si>
  <si>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</si>
  <si>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</si>
  <si>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</si>
  <si>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</si>
  <si>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</si>
  <si>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</si>
  <si>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</si>
  <si>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</si>
  <si>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</si>
  <si>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</si>
  <si>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</si>
  <si>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</si>
  <si>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</si>
  <si>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</si>
  <si>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</si>
  <si>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</si>
  <si>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</si>
  <si>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</si>
  <si>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</si>
  <si>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</si>
  <si>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</si>
  <si>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</si>
  <si>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</si>
  <si>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</si>
  <si>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</si>
  <si>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</si>
  <si>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</si>
  <si>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</si>
  <si>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</si>
  <si>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</si>
  <si>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</si>
  <si>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</si>
  <si>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</si>
  <si>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</si>
  <si>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</si>
  <si>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ウォーターパーク</t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</si>
  <si>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</si>
  <si>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</si>
  <si>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</si>
  <si>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</si>
  <si>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マリオカートスタジアム</t>
  </si>
  <si>
    <t>備考 / Remark</t>
    <rPh sb="0" eb="2">
      <t>ビコウ</t>
    </rPh>
    <phoneticPr fontId="1"/>
  </si>
  <si>
    <t>N64 チョコマウンテン</t>
  </si>
  <si>
    <t>ドッスンいせき</t>
  </si>
  <si>
    <t>マリオサーキット</t>
  </si>
  <si>
    <t>行ラベル</t>
  </si>
  <si>
    <t>総計</t>
  </si>
  <si>
    <t>スイーツキャニオン</t>
  </si>
  <si>
    <t>キノピオハーバー</t>
  </si>
  <si>
    <t>Wii ワリオこうざん</t>
  </si>
  <si>
    <t>Tour トーキョースクランブル</t>
  </si>
  <si>
    <t>Tour シドニーサンシャイン</t>
  </si>
  <si>
    <t>Ave. rank</t>
  </si>
  <si>
    <t>Ave. points</t>
  </si>
  <si>
    <t>(すべて)</t>
  </si>
  <si>
    <t>スタート順位 / Starting rank</t>
  </si>
  <si>
    <t>回数 / Times</t>
  </si>
  <si>
    <t>コースを選択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</si>
</sst>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76" fontId="0" fillId="0" borderId="0" xfId="0" pivotButton="1" applyNumberFormat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left" vertical="center"/>
    </xf>
    <xf numFmtId="0" fontId="5" fillId="0" borderId="0" xfId="0" applyFont="1" applyAlignment="1">
      <alignment horizontal="center"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0" fontId="5" fillId="0" borderId="1" xfId="0" applyFont="1" applyBorder="1" applyAlignment="1">
      <alignment horizontal="center" vertical="center" shrinkToFit="1"/>
    </xf>
    <xf numFmtId="176" fontId="0" fillId="2" borderId="0" xfId="0" applyNumberFormat="1" applyFill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14">
    <dxf>
      <numFmt numFmtId="177" formatCode="0.0_ "/>
    </dxf>
    <dxf>
      <numFmt numFmtId="177" formatCode="0.0_ "/>
    </dxf>
    <dxf>
      <numFmt numFmtId="177" formatCode="0.0_ "/>
    </dxf>
    <dxf>
      <numFmt numFmtId="178" formatCode="0_ "/>
    </dxf>
    <dxf>
      <numFmt numFmtId="178" formatCode="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4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18</xdr:row>
          <xdr:rowOff>139700</xdr:rowOff>
        </xdr:from>
        <xdr:to>
          <xdr:col>3</xdr:col>
          <xdr:colOff>1346200</xdr:colOff>
          <xdr:row>20</xdr:row>
          <xdr:rowOff>31750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1924050</xdr:colOff>
          <xdr:row>18</xdr:row>
          <xdr:rowOff>139700</xdr:rowOff>
        </xdr:from>
        <xdr:to>
          <xdr:col>3</xdr:col>
          <xdr:colOff>76200</xdr:colOff>
          <xdr:row>20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0</xdr:row>
          <xdr:rowOff>44450</xdr:rowOff>
        </xdr:from>
        <xdr:to>
          <xdr:col>0</xdr:col>
          <xdr:colOff>1854200</xdr:colOff>
          <xdr:row>0</xdr:row>
          <xdr:rowOff>393700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0</xdr:row>
          <xdr:rowOff>31750</xdr:rowOff>
        </xdr:from>
        <xdr:to>
          <xdr:col>13</xdr:col>
          <xdr:colOff>273050</xdr:colOff>
          <xdr:row>0</xdr:row>
          <xdr:rowOff>381000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</xdr:row>
          <xdr:rowOff>139700</xdr:rowOff>
        </xdr:from>
        <xdr:to>
          <xdr:col>13</xdr:col>
          <xdr:colOff>273050</xdr:colOff>
          <xdr:row>3</xdr:row>
          <xdr:rowOff>25400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3</xdr:row>
          <xdr:rowOff>203200</xdr:rowOff>
        </xdr:from>
        <xdr:to>
          <xdr:col>13</xdr:col>
          <xdr:colOff>273050</xdr:colOff>
          <xdr:row>5</xdr:row>
          <xdr:rowOff>95250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6</xdr:row>
          <xdr:rowOff>38100</xdr:rowOff>
        </xdr:from>
        <xdr:to>
          <xdr:col>13</xdr:col>
          <xdr:colOff>273050</xdr:colOff>
          <xdr:row>7</xdr:row>
          <xdr:rowOff>158750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317500</xdr:colOff>
          <xdr:row>1</xdr:row>
          <xdr:rowOff>0</xdr:rowOff>
        </xdr:from>
        <xdr:to>
          <xdr:col>3</xdr:col>
          <xdr:colOff>1587500</xdr:colOff>
          <xdr:row>3</xdr:row>
          <xdr:rowOff>152400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047.049402777775" createdVersion="8" refreshedVersion="8" minRefreshableVersion="3" recordCount="47" xr:uid="{7E0134B0-407D-4CD1-9156-8B892621E910}">
  <cacheSource type="worksheet">
    <worksheetSource ref="A1:K1048576" sheet="Data"/>
  </cacheSource>
  <cacheFields count="11">
    <cacheField name="registKey" numFmtId="49">
      <sharedItems containsBlank="1"/>
    </cacheField>
    <cacheField name="date" numFmtId="0">
      <sharedItems containsNonDate="0" containsDate="1" containsString="0" containsBlank="1" minDate="2023-05-01T00:00:00" maxDate="2023-05-02T00:00:00"/>
    </cacheField>
    <cacheField name="tier" numFmtId="0">
      <sharedItems containsBlank="1"/>
    </cacheField>
    <cacheField name="format" numFmtId="0">
      <sharedItems containsBlank="1"/>
    </cacheField>
    <cacheField name="trackKey" numFmtId="0">
      <sharedItems containsBlank="1"/>
    </cacheField>
    <cacheField name="trackNameJp" numFmtId="0">
      <sharedItems containsBlank="1" count="19">
        <s v="マリオカートスタジアム"/>
        <s v="ウォーターパーク"/>
        <s v="スイーツキャニオン"/>
        <s v="ドッスンいせき"/>
        <s v="キノピオハーバー"/>
        <s v="N64 チョコマウンテン"/>
        <s v="Wii ワリオこうざん"/>
        <s v="Tour トーキョースクランブル"/>
        <s v="Tour シドニーサンシャイン"/>
        <s v="マリオサーキット"/>
        <m/>
        <s v="3DS ネオクッパシティ" u="1"/>
        <s v="DS ワルイージピンボール" u="1"/>
        <s v="Wii モーモーカントリー" u="1"/>
        <s v="Tour ベルリンシュトラーセ" u="1"/>
        <s v="Wii メイプルツリーハウス" u="1"/>
        <s v="GBA チーズランド" u="1"/>
        <s v="N64 カラカラさばく" u="1"/>
        <s v="ドラゴンロード" u="1"/>
      </sharedItems>
    </cacheField>
    <cacheField name="trackNameEn" numFmtId="0">
      <sharedItems containsBlank="1"/>
    </cacheField>
    <cacheField name="startingRank" numFmtId="0">
      <sharedItems containsString="0" containsBlank="1" containsNumber="1" containsInteger="1" minValue="0" maxValue="12" count="14">
        <n v="1"/>
        <n v="2"/>
        <n v="3"/>
        <n v="4"/>
        <n v="5"/>
        <n v="6"/>
        <n v="7"/>
        <n v="8"/>
        <n v="9"/>
        <n v="10"/>
        <n v="11"/>
        <m/>
        <n v="0" u="1"/>
        <n v="12" u="1"/>
      </sharedItems>
    </cacheField>
    <cacheField name="resultRank" numFmtId="0">
      <sharedItems containsString="0" containsBlank="1" containsNumber="1" containsInteger="1" minValue="1" maxValue="12"/>
    </cacheField>
    <cacheField name="resultPoint" numFmtId="0">
      <sharedItems containsString="0" containsBlank="1" containsNumber="1" containsInteger="1" minValue="1" maxValue="15"/>
    </cacheField>
    <cacheField name="detail" numFmtId="0">
      <sharedItems containsBlank="1" count="2">
        <s v="サンプル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s v="000014"/>
    <d v="2023-05-01T00:00:00"/>
    <s v="tier-X"/>
    <s v="FFA"/>
    <s v="MKS"/>
    <x v="0"/>
    <s v="Mario Kart Stadium"/>
    <x v="0"/>
    <n v="1"/>
    <n v="15"/>
    <x v="0"/>
  </r>
  <r>
    <s v="000014"/>
    <d v="2023-05-01T00:00:00"/>
    <s v="tier-X"/>
    <s v="FFA"/>
    <s v="WP"/>
    <x v="1"/>
    <s v="Water Park"/>
    <x v="0"/>
    <n v="2"/>
    <n v="12"/>
    <x v="0"/>
  </r>
  <r>
    <s v="000014"/>
    <d v="2023-05-01T00:00:00"/>
    <s v="tier-X"/>
    <s v="FFA"/>
    <s v="SSC"/>
    <x v="2"/>
    <s v="Sweet Sweet Canyon"/>
    <x v="1"/>
    <n v="3"/>
    <n v="10"/>
    <x v="0"/>
  </r>
  <r>
    <s v="000014"/>
    <d v="2023-05-01T00:00:00"/>
    <s v="tier-X"/>
    <s v="FFA"/>
    <s v="TR"/>
    <x v="3"/>
    <s v="Thwomp Ruins"/>
    <x v="2"/>
    <n v="4"/>
    <n v="9"/>
    <x v="0"/>
  </r>
  <r>
    <s v="000014"/>
    <d v="2023-05-01T00:00:00"/>
    <s v="tier-X"/>
    <s v="FFA"/>
    <s v="TR"/>
    <x v="3"/>
    <s v="Thwomp Ruins"/>
    <x v="3"/>
    <n v="5"/>
    <n v="8"/>
    <x v="0"/>
  </r>
  <r>
    <s v="000014"/>
    <d v="2023-05-01T00:00:00"/>
    <s v="tier-X"/>
    <s v="FFA"/>
    <s v="TH"/>
    <x v="4"/>
    <s v="Toad Harbor"/>
    <x v="4"/>
    <n v="6"/>
    <n v="7"/>
    <x v="0"/>
  </r>
  <r>
    <s v="000014"/>
    <d v="2023-05-01T00:00:00"/>
    <s v="tier-X"/>
    <s v="FFA"/>
    <s v="TH"/>
    <x v="4"/>
    <s v="Toad Harbor"/>
    <x v="5"/>
    <n v="7"/>
    <n v="6"/>
    <x v="0"/>
  </r>
  <r>
    <s v="000014"/>
    <d v="2023-05-01T00:00:00"/>
    <s v="tier-X"/>
    <s v="FFA"/>
    <s v="bCMo"/>
    <x v="5"/>
    <s v="N64 Choco Mountain"/>
    <x v="6"/>
    <n v="8"/>
    <n v="5"/>
    <x v="0"/>
  </r>
  <r>
    <s v="000014"/>
    <d v="2023-05-01T00:00:00"/>
    <s v="tier-X"/>
    <s v="FFA"/>
    <s v="dWGM"/>
    <x v="6"/>
    <s v="Wii Wario's Gold Mine"/>
    <x v="7"/>
    <n v="9"/>
    <n v="4"/>
    <x v="0"/>
  </r>
  <r>
    <s v="000014"/>
    <d v="2023-05-01T00:00:00"/>
    <s v="tier-X"/>
    <s v="FFA"/>
    <s v="bTB"/>
    <x v="7"/>
    <s v="Tour Tokyo Blur"/>
    <x v="8"/>
    <n v="10"/>
    <n v="3"/>
    <x v="0"/>
  </r>
  <r>
    <s v="000014"/>
    <d v="2023-05-01T00:00:00"/>
    <s v="tier-X"/>
    <s v="FFA"/>
    <s v="bSS"/>
    <x v="8"/>
    <s v="Tour Sydney Sprint"/>
    <x v="9"/>
    <n v="11"/>
    <n v="2"/>
    <x v="0"/>
  </r>
  <r>
    <s v="000014"/>
    <d v="2023-05-01T00:00:00"/>
    <s v="tier-X"/>
    <s v="FFA"/>
    <s v="MC"/>
    <x v="9"/>
    <s v="Mario Circuit"/>
    <x v="10"/>
    <n v="12"/>
    <n v="1"/>
    <x v="0"/>
  </r>
  <r>
    <s v="000014"/>
    <d v="2023-05-01T00:00:00"/>
    <s v="tier-X"/>
    <s v="FFA"/>
    <s v="MKS"/>
    <x v="0"/>
    <s v="Mario Kart Stadium"/>
    <x v="0"/>
    <n v="1"/>
    <n v="15"/>
    <x v="0"/>
  </r>
  <r>
    <s v="000014"/>
    <d v="2023-05-01T00:00:00"/>
    <s v="tier-X"/>
    <s v="FFA"/>
    <s v="WP"/>
    <x v="1"/>
    <s v="Water Park"/>
    <x v="0"/>
    <n v="2"/>
    <n v="12"/>
    <x v="0"/>
  </r>
  <r>
    <s v="000014"/>
    <d v="2023-05-01T00:00:00"/>
    <s v="tier-X"/>
    <s v="FFA"/>
    <s v="SSC"/>
    <x v="2"/>
    <s v="Sweet Sweet Canyon"/>
    <x v="1"/>
    <n v="3"/>
    <n v="10"/>
    <x v="0"/>
  </r>
  <r>
    <s v="000014"/>
    <d v="2023-05-01T00:00:00"/>
    <s v="tier-X"/>
    <s v="FFA"/>
    <s v="TR"/>
    <x v="3"/>
    <s v="Thwomp Ruins"/>
    <x v="2"/>
    <n v="4"/>
    <n v="9"/>
    <x v="0"/>
  </r>
  <r>
    <s v="000014"/>
    <d v="2023-05-01T00:00:00"/>
    <s v="tier-X"/>
    <s v="FFA"/>
    <s v="TR"/>
    <x v="3"/>
    <s v="Thwomp Ruins"/>
    <x v="3"/>
    <n v="5"/>
    <n v="8"/>
    <x v="0"/>
  </r>
  <r>
    <s v="000014"/>
    <d v="2023-05-01T00:00:00"/>
    <s v="tier-X"/>
    <s v="FFA"/>
    <s v="TH"/>
    <x v="4"/>
    <s v="Toad Harbor"/>
    <x v="4"/>
    <n v="6"/>
    <n v="7"/>
    <x v="0"/>
  </r>
  <r>
    <s v="000014"/>
    <d v="2023-05-01T00:00:00"/>
    <s v="tier-X"/>
    <s v="FFA"/>
    <s v="TH"/>
    <x v="4"/>
    <s v="Toad Harbor"/>
    <x v="5"/>
    <n v="7"/>
    <n v="6"/>
    <x v="0"/>
  </r>
  <r>
    <s v="000014"/>
    <d v="2023-05-01T00:00:00"/>
    <s v="tier-X"/>
    <s v="FFA"/>
    <s v="bCMo"/>
    <x v="5"/>
    <s v="N64 Choco Mountain"/>
    <x v="6"/>
    <n v="8"/>
    <n v="5"/>
    <x v="0"/>
  </r>
  <r>
    <s v="000014"/>
    <d v="2023-05-01T00:00:00"/>
    <s v="tier-X"/>
    <s v="FFA"/>
    <s v="dWGM"/>
    <x v="6"/>
    <s v="Wii Wario's Gold Mine"/>
    <x v="7"/>
    <n v="9"/>
    <n v="4"/>
    <x v="0"/>
  </r>
  <r>
    <s v="000014"/>
    <d v="2023-05-01T00:00:00"/>
    <s v="tier-X"/>
    <s v="FFA"/>
    <s v="bTB"/>
    <x v="7"/>
    <s v="Tour Tokyo Blur"/>
    <x v="8"/>
    <n v="10"/>
    <n v="3"/>
    <x v="0"/>
  </r>
  <r>
    <s v="000014"/>
    <d v="2023-05-01T00:00:00"/>
    <s v="tier-X"/>
    <s v="FFA"/>
    <s v="bSS"/>
    <x v="8"/>
    <s v="Tour Sydney Sprint"/>
    <x v="9"/>
    <n v="11"/>
    <n v="2"/>
    <x v="0"/>
  </r>
  <r>
    <s v="000014"/>
    <d v="2023-05-01T00:00:00"/>
    <s v="tier-X"/>
    <s v="FFA"/>
    <s v="MC"/>
    <x v="9"/>
    <s v="Mario Circuit"/>
    <x v="10"/>
    <n v="12"/>
    <n v="1"/>
    <x v="0"/>
  </r>
  <r>
    <s v="000014"/>
    <d v="2023-05-01T00:00:00"/>
    <s v="tier-X"/>
    <s v="FFA"/>
    <s v="MKS"/>
    <x v="0"/>
    <s v="Mario Kart Stadium"/>
    <x v="0"/>
    <n v="1"/>
    <n v="15"/>
    <x v="0"/>
  </r>
  <r>
    <s v="000014"/>
    <d v="2023-05-01T00:00:00"/>
    <s v="tier-X"/>
    <s v="FFA"/>
    <s v="WP"/>
    <x v="1"/>
    <s v="Water Park"/>
    <x v="0"/>
    <n v="2"/>
    <n v="12"/>
    <x v="0"/>
  </r>
  <r>
    <s v="000014"/>
    <d v="2023-05-01T00:00:00"/>
    <s v="tier-X"/>
    <s v="FFA"/>
    <s v="SSC"/>
    <x v="2"/>
    <s v="Sweet Sweet Canyon"/>
    <x v="1"/>
    <n v="3"/>
    <n v="10"/>
    <x v="0"/>
  </r>
  <r>
    <s v="000014"/>
    <d v="2023-05-01T00:00:00"/>
    <s v="tier-X"/>
    <s v="FFA"/>
    <s v="TR"/>
    <x v="3"/>
    <s v="Thwomp Ruins"/>
    <x v="2"/>
    <n v="4"/>
    <n v="9"/>
    <x v="0"/>
  </r>
  <r>
    <s v="000014"/>
    <d v="2023-05-01T00:00:00"/>
    <s v="tier-X"/>
    <s v="FFA"/>
    <s v="TR"/>
    <x v="3"/>
    <s v="Thwomp Ruins"/>
    <x v="3"/>
    <n v="5"/>
    <n v="8"/>
    <x v="0"/>
  </r>
  <r>
    <s v="000014"/>
    <d v="2023-05-01T00:00:00"/>
    <s v="tier-X"/>
    <s v="FFA"/>
    <s v="TH"/>
    <x v="4"/>
    <s v="Toad Harbor"/>
    <x v="4"/>
    <n v="6"/>
    <n v="7"/>
    <x v="0"/>
  </r>
  <r>
    <s v="000014"/>
    <d v="2023-05-01T00:00:00"/>
    <s v="tier-X"/>
    <s v="FFA"/>
    <s v="TH"/>
    <x v="4"/>
    <s v="Toad Harbor"/>
    <x v="5"/>
    <n v="7"/>
    <n v="6"/>
    <x v="0"/>
  </r>
  <r>
    <s v="000014"/>
    <d v="2023-05-01T00:00:00"/>
    <s v="tier-X"/>
    <s v="FFA"/>
    <s v="bCMo"/>
    <x v="5"/>
    <s v="N64 Choco Mountain"/>
    <x v="6"/>
    <n v="8"/>
    <n v="5"/>
    <x v="0"/>
  </r>
  <r>
    <s v="000014"/>
    <d v="2023-05-01T00:00:00"/>
    <s v="tier-X"/>
    <s v="FFA"/>
    <s v="dWGM"/>
    <x v="6"/>
    <s v="Wii Wario's Gold Mine"/>
    <x v="7"/>
    <n v="9"/>
    <n v="4"/>
    <x v="0"/>
  </r>
  <r>
    <s v="000014"/>
    <d v="2023-05-01T00:00:00"/>
    <s v="tier-X"/>
    <s v="FFA"/>
    <s v="bTB"/>
    <x v="7"/>
    <s v="Tour Tokyo Blur"/>
    <x v="8"/>
    <n v="10"/>
    <n v="3"/>
    <x v="0"/>
  </r>
  <r>
    <s v="000014"/>
    <d v="2023-05-01T00:00:00"/>
    <s v="tier-X"/>
    <s v="FFA"/>
    <s v="bSS"/>
    <x v="8"/>
    <s v="Tour Sydney Sprint"/>
    <x v="9"/>
    <n v="11"/>
    <n v="2"/>
    <x v="0"/>
  </r>
  <r>
    <s v="000014"/>
    <d v="2023-05-01T00:00:00"/>
    <s v="tier-X"/>
    <s v="FFA"/>
    <s v="MC"/>
    <x v="9"/>
    <s v="Mario Circuit"/>
    <x v="10"/>
    <n v="12"/>
    <n v="1"/>
    <x v="0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21E0D7-4CE1-42A4-9053-AE824BF3B2A6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4:D15" firstHeaderRow="0" firstDataRow="1" firstDataCol="1" rowPageCount="1" colPageCount="1"/>
  <pivotFields count="11">
    <pivotField showAll="0"/>
    <pivotField showAll="0"/>
    <pivotField showAll="0"/>
    <pivotField showAll="0"/>
    <pivotField showAll="0"/>
    <pivotField name="コース名 / Track name" axis="axisRow" dataField="1" showAll="0" sortType="ascending">
      <items count="20">
        <item x="0"/>
        <item x="1"/>
        <item x="3"/>
        <item x="9"/>
        <item m="1" x="18"/>
        <item m="1" x="11"/>
        <item m="1" x="12"/>
        <item m="1" x="16"/>
        <item m="1" x="17"/>
        <item x="5"/>
        <item m="1" x="14"/>
        <item m="1" x="15"/>
        <item m="1" x="13"/>
        <item h="1" x="10"/>
        <item x="2"/>
        <item x="4"/>
        <item x="6"/>
        <item x="7"/>
        <item x="8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12"/>
        <item x="0"/>
        <item x="1"/>
        <item x="3"/>
        <item x="4"/>
        <item x="5"/>
        <item x="7"/>
        <item x="9"/>
        <item x="10"/>
        <item m="1" x="13"/>
        <item x="11"/>
        <item x="2"/>
        <item x="6"/>
        <item x="8"/>
        <item t="default"/>
      </items>
    </pivotField>
    <pivotField dataField="1" showAll="0"/>
    <pivotField dataField="1" showAll="0"/>
    <pivotField showAll="0"/>
  </pivotFields>
  <rowFields count="1">
    <field x="5"/>
  </rowFields>
  <rowItems count="11">
    <i>
      <x v="9"/>
    </i>
    <i>
      <x v="14"/>
    </i>
    <i>
      <x v="1"/>
    </i>
    <i>
      <x v="3"/>
    </i>
    <i>
      <x v="18"/>
    </i>
    <i>
      <x v="16"/>
    </i>
    <i>
      <x/>
    </i>
    <i>
      <x v="17"/>
    </i>
    <i>
      <x v="15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-1"/>
  </pageFields>
  <dataFields count="3">
    <dataField name="Ave. points" fld="9" subtotal="average" baseField="5" baseItem="1" numFmtId="177"/>
    <dataField name="Ave. rank" fld="8" subtotal="count" baseField="5" baseItem="1" numFmtId="177"/>
    <dataField name="回数 / Times" fld="5" subtotal="count" baseField="5" baseItem="1" numFmtId="178"/>
  </dataFields>
  <formats count="14">
    <format dxfId="13">
      <pivotArea type="all" dataOnly="0" outline="0" fieldPosition="0"/>
    </format>
    <format dxfId="12">
      <pivotArea outline="0" collapsedLevelsAreSubtotals="1" fieldPosition="0"/>
    </format>
    <format dxfId="11">
      <pivotArea type="origin" dataOnly="0" labelOnly="1" outline="0" fieldPosition="0"/>
    </format>
    <format dxfId="10">
      <pivotArea field="7" type="button" dataOnly="0" labelOnly="1" outline="0" axis="axisPage" fieldPosition="0"/>
    </format>
    <format dxfId="9">
      <pivotArea type="topRight" dataOnly="0" labelOnly="1" outline="0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grandRow="1" outline="0" fieldPosition="0"/>
    </format>
    <format dxfId="5">
      <pivotArea dataOnly="0" labelOnly="1" grandCol="1" outline="0" fieldPosition="0"/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">
      <pivotArea dataOnly="0" labelOnly="1" outline="0" fieldPosition="0">
        <references count="1">
          <reference field="7" count="0"/>
        </references>
      </pivotArea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tabSelected="1" workbookViewId="0">
      <selection sqref="A1:D1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54" t="s">
        <v>420</v>
      </c>
      <c r="B1" s="54"/>
      <c r="C1" s="54"/>
      <c r="D1" s="54"/>
    </row>
    <row r="2" spans="1:5" ht="22.5" x14ac:dyDescent="0.55000000000000004">
      <c r="A2" s="25" t="s">
        <v>396</v>
      </c>
      <c r="B2" s="26" t="s">
        <v>406</v>
      </c>
      <c r="C2" s="34" t="s">
        <v>417</v>
      </c>
      <c r="D2" s="11"/>
    </row>
    <row r="3" spans="1:5" ht="22.5" x14ac:dyDescent="0.55000000000000004">
      <c r="A3" s="27"/>
      <c r="B3" s="28" t="s">
        <v>407</v>
      </c>
      <c r="C3" s="35" t="s">
        <v>417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425</v>
      </c>
      <c r="E5" s="14"/>
    </row>
    <row r="6" spans="1:5" ht="20" customHeight="1" x14ac:dyDescent="0.55000000000000004">
      <c r="A6" s="16">
        <v>1</v>
      </c>
      <c r="B6" s="37" t="s">
        <v>441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441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418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418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418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418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418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418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418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418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418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418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algorithmName="SHA-512" hashValue="uUfZVfGjx8+19cWOHypwCD5CKgvuX9XJuTiK+lF10jsu0KRpLtie+IIncRIouVCdgzs11H8aHK9Pa9nurLwGUA==" saltValue="DhoNi26cfN4WbfE2skTYuA==" spinCount="100000" sheet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r:id="rId5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1339850</xdr:colOff>
                <xdr:row>2</xdr:row>
                <xdr:rowOff>101600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r:id="rId7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1339850</xdr:colOff>
                <xdr:row>3</xdr:row>
                <xdr:rowOff>228600</xdr:rowOff>
              </to>
            </anchor>
          </controlPr>
        </control>
      </mc:Choice>
      <mc:Fallback>
        <control shapeId="4103" r:id="rId6" name="Reset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3</xdr:col>
                <xdr:colOff>76200</xdr:colOff>
                <xdr:row>18</xdr:row>
                <xdr:rowOff>139700</xdr:rowOff>
              </from>
              <to>
                <xdr:col>3</xdr:col>
                <xdr:colOff>1346200</xdr:colOff>
                <xdr:row>20</xdr:row>
                <xdr:rowOff>31750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5" r:id="rId10" name="GoToGraphBtn">
          <controlPr defaultSize="0" autoLine="0" r:id="rId11">
            <anchor moveWithCells="1">
              <from>
                <xdr:col>1</xdr:col>
                <xdr:colOff>1924050</xdr:colOff>
                <xdr:row>18</xdr:row>
                <xdr:rowOff>139700</xdr:rowOff>
              </from>
              <to>
                <xdr:col>3</xdr:col>
                <xdr:colOff>76200</xdr:colOff>
                <xdr:row>20</xdr:row>
                <xdr:rowOff>31750</xdr:rowOff>
              </to>
            </anchor>
          </controlPr>
        </control>
      </mc:Choice>
      <mc:Fallback>
        <control shapeId="4105" r:id="rId10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20"/>
  <sheetViews>
    <sheetView workbookViewId="0">
      <pane ySplit="1" topLeftCell="A2" activePane="bottomLeft" state="frozen"/>
      <selection sqref="A1:C1"/>
      <selection pane="bottomLeft" activeCell="B27" sqref="B27"/>
    </sheetView>
  </sheetViews>
  <sheetFormatPr defaultRowHeight="18" x14ac:dyDescent="0.55000000000000004"/>
  <cols>
    <col min="1" max="1" width="26.75" style="46" bestFit="1" customWidth="1"/>
    <col min="2" max="2" width="11.25" style="49" bestFit="1" customWidth="1"/>
    <col min="3" max="3" width="9.75" style="49" bestFit="1" customWidth="1"/>
    <col min="4" max="4" width="12.5" style="50" bestFit="1" customWidth="1"/>
    <col min="5" max="7" width="5.58203125" style="46" bestFit="1" customWidth="1"/>
    <col min="8" max="9" width="6.6640625" style="46" bestFit="1" customWidth="1"/>
    <col min="10" max="10" width="6.5" style="46" bestFit="1" customWidth="1"/>
    <col min="11" max="13" width="5.58203125" style="46" bestFit="1" customWidth="1"/>
    <col min="14" max="14" width="6.1640625" style="46" bestFit="1" customWidth="1"/>
    <col min="15" max="15" width="17.1640625" style="46" bestFit="1" customWidth="1"/>
    <col min="16" max="16" width="17.25" style="46" bestFit="1" customWidth="1"/>
    <col min="17" max="17" width="17.1640625" style="46" bestFit="1" customWidth="1"/>
    <col min="18" max="18" width="17.25" style="46" bestFit="1" customWidth="1"/>
    <col min="19" max="19" width="17.1640625" style="46" bestFit="1" customWidth="1"/>
    <col min="20" max="20" width="17.25" style="46" bestFit="1" customWidth="1"/>
    <col min="21" max="21" width="17.1640625" style="46" bestFit="1" customWidth="1"/>
    <col min="22" max="22" width="17.25" style="46" bestFit="1" customWidth="1"/>
    <col min="23" max="23" width="17.1640625" style="46" bestFit="1" customWidth="1"/>
    <col min="24" max="24" width="17.25" style="46" bestFit="1" customWidth="1"/>
    <col min="25" max="25" width="17.1640625" style="46" bestFit="1" customWidth="1"/>
    <col min="26" max="26" width="23.6640625" style="46" bestFit="1" customWidth="1"/>
    <col min="27" max="27" width="23.58203125" style="46" bestFit="1" customWidth="1"/>
    <col min="28" max="16384" width="8.6640625" style="46"/>
  </cols>
  <sheetData>
    <row r="1" spans="1:14" s="51" customFormat="1" ht="35" customHeight="1" x14ac:dyDescent="0.55000000000000004">
      <c r="A1" s="55"/>
      <c r="B1" s="55"/>
      <c r="C1" s="55"/>
      <c r="D1" s="55"/>
    </row>
    <row r="2" spans="1:14" x14ac:dyDescent="0.55000000000000004">
      <c r="A2" s="45" t="s">
        <v>439</v>
      </c>
      <c r="B2" s="49" t="s">
        <v>438</v>
      </c>
    </row>
    <row r="4" spans="1:14" x14ac:dyDescent="0.55000000000000004">
      <c r="A4" s="45" t="s">
        <v>429</v>
      </c>
      <c r="B4" s="49" t="s">
        <v>437</v>
      </c>
      <c r="C4" s="49" t="s">
        <v>436</v>
      </c>
      <c r="D4" s="50" t="s">
        <v>440</v>
      </c>
      <c r="E4"/>
      <c r="F4"/>
      <c r="G4"/>
      <c r="H4"/>
      <c r="I4"/>
      <c r="J4"/>
      <c r="K4"/>
      <c r="L4"/>
      <c r="M4"/>
      <c r="N4"/>
    </row>
    <row r="5" spans="1:14" x14ac:dyDescent="0.55000000000000004">
      <c r="A5" s="47" t="s">
        <v>426</v>
      </c>
      <c r="B5" s="49">
        <v>5</v>
      </c>
      <c r="C5" s="49">
        <v>3</v>
      </c>
      <c r="D5" s="50">
        <v>3</v>
      </c>
      <c r="E5"/>
      <c r="F5"/>
      <c r="G5"/>
      <c r="H5"/>
      <c r="I5"/>
      <c r="J5"/>
      <c r="K5"/>
      <c r="L5"/>
      <c r="M5"/>
      <c r="N5"/>
    </row>
    <row r="6" spans="1:14" x14ac:dyDescent="0.55000000000000004">
      <c r="A6" s="47" t="s">
        <v>431</v>
      </c>
      <c r="B6" s="49">
        <v>10</v>
      </c>
      <c r="C6" s="49">
        <v>3</v>
      </c>
      <c r="D6" s="50">
        <v>3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47" t="s">
        <v>419</v>
      </c>
      <c r="B7" s="49">
        <v>12</v>
      </c>
      <c r="C7" s="49">
        <v>3</v>
      </c>
      <c r="D7" s="50">
        <v>3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 s="47" t="s">
        <v>428</v>
      </c>
      <c r="B8" s="49">
        <v>1</v>
      </c>
      <c r="C8" s="49">
        <v>3</v>
      </c>
      <c r="D8" s="50">
        <v>3</v>
      </c>
      <c r="E8"/>
      <c r="F8"/>
      <c r="G8"/>
      <c r="H8"/>
      <c r="I8"/>
      <c r="J8"/>
      <c r="K8"/>
      <c r="L8"/>
      <c r="M8"/>
      <c r="N8"/>
    </row>
    <row r="9" spans="1:14" x14ac:dyDescent="0.55000000000000004">
      <c r="A9" s="47" t="s">
        <v>435</v>
      </c>
      <c r="B9" s="49">
        <v>2</v>
      </c>
      <c r="C9" s="49">
        <v>3</v>
      </c>
      <c r="D9" s="50">
        <v>3</v>
      </c>
      <c r="E9"/>
      <c r="F9"/>
      <c r="G9"/>
      <c r="H9"/>
      <c r="I9"/>
      <c r="J9"/>
      <c r="K9"/>
      <c r="L9"/>
      <c r="M9"/>
      <c r="N9"/>
    </row>
    <row r="10" spans="1:14" x14ac:dyDescent="0.55000000000000004">
      <c r="A10" s="47" t="s">
        <v>433</v>
      </c>
      <c r="B10" s="49">
        <v>4</v>
      </c>
      <c r="C10" s="49">
        <v>3</v>
      </c>
      <c r="D10" s="50">
        <v>3</v>
      </c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 s="47" t="s">
        <v>424</v>
      </c>
      <c r="B11" s="49">
        <v>15</v>
      </c>
      <c r="C11" s="49">
        <v>3</v>
      </c>
      <c r="D11" s="50">
        <v>3</v>
      </c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 s="47" t="s">
        <v>434</v>
      </c>
      <c r="B12" s="49">
        <v>3</v>
      </c>
      <c r="C12" s="49">
        <v>3</v>
      </c>
      <c r="D12" s="50">
        <v>3</v>
      </c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 s="47" t="s">
        <v>432</v>
      </c>
      <c r="B13" s="49">
        <v>6.5</v>
      </c>
      <c r="C13" s="49">
        <v>6</v>
      </c>
      <c r="D13" s="50">
        <v>6</v>
      </c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 s="47" t="s">
        <v>427</v>
      </c>
      <c r="B14" s="49">
        <v>8.5</v>
      </c>
      <c r="C14" s="49">
        <v>6</v>
      </c>
      <c r="D14" s="50">
        <v>6</v>
      </c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 s="47" t="s">
        <v>430</v>
      </c>
      <c r="B15" s="49">
        <v>6.833333333333333</v>
      </c>
      <c r="C15" s="49">
        <v>36</v>
      </c>
      <c r="D15" s="50">
        <v>36</v>
      </c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4" x14ac:dyDescent="0.55000000000000004">
      <c r="A17"/>
      <c r="E17"/>
      <c r="F17"/>
      <c r="G17"/>
      <c r="H17"/>
      <c r="I17"/>
      <c r="J17"/>
      <c r="K17"/>
      <c r="L17"/>
      <c r="M17"/>
      <c r="N17"/>
    </row>
    <row r="18" spans="1:14" x14ac:dyDescent="0.55000000000000004">
      <c r="A18"/>
      <c r="E18"/>
      <c r="F18"/>
      <c r="G18"/>
      <c r="H18"/>
      <c r="I18"/>
      <c r="J18"/>
      <c r="K18"/>
      <c r="L18"/>
      <c r="M18"/>
    </row>
    <row r="19" spans="1:14" x14ac:dyDescent="0.55000000000000004">
      <c r="A19"/>
      <c r="E19"/>
      <c r="F19"/>
      <c r="G19"/>
      <c r="H19"/>
      <c r="I19"/>
      <c r="J19"/>
      <c r="K19"/>
      <c r="L19"/>
      <c r="M19"/>
    </row>
    <row r="20" spans="1:14" x14ac:dyDescent="0.55000000000000004">
      <c r="A20"/>
      <c r="E20"/>
      <c r="F20"/>
      <c r="G20"/>
      <c r="H20"/>
      <c r="I20"/>
      <c r="J20"/>
      <c r="K20"/>
      <c r="L20"/>
      <c r="M20"/>
    </row>
  </sheetData>
  <mergeCells count="1">
    <mergeCell ref="A1:D1"/>
  </mergeCells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0" r:id="rId5" name="GoToRegistDataBtn">
          <controlPr defaultSize="0" autoLine="0" autoPict="0" r:id="rId6">
            <anchor moveWithCells="1">
              <from>
                <xdr:col>0</xdr:col>
                <xdr:colOff>44450</xdr:colOff>
                <xdr:row>0</xdr:row>
                <xdr:rowOff>44450</xdr:rowOff>
              </from>
              <to>
                <xdr:col>0</xdr:col>
                <xdr:colOff>1854200</xdr:colOff>
                <xdr:row>0</xdr:row>
                <xdr:rowOff>393700</xdr:rowOff>
              </to>
            </anchor>
          </controlPr>
        </control>
      </mc:Choice>
      <mc:Fallback>
        <control shapeId="7170" r:id="rId5" name="GoToRegist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"/>
  <sheetViews>
    <sheetView zoomScale="90" zoomScaleNormal="90" workbookViewId="0">
      <pane ySplit="1" topLeftCell="A2" activePane="bottomLeft" state="frozen"/>
      <selection sqref="A1:C1"/>
      <selection pane="bottomLeft" activeCell="A2" sqref="A2"/>
    </sheetView>
  </sheetViews>
  <sheetFormatPr defaultRowHeight="18" x14ac:dyDescent="0.55000000000000004"/>
  <cols>
    <col min="1" max="1" width="12.4140625" style="53" bestFit="1" customWidth="1"/>
    <col min="2" max="2" width="10" bestFit="1" customWidth="1"/>
    <col min="3" max="3" width="6" bestFit="1" customWidth="1"/>
    <col min="4" max="4" width="9.08203125" bestFit="1" customWidth="1"/>
    <col min="5" max="5" width="11.75" bestFit="1" customWidth="1"/>
    <col min="6" max="7" width="27.83203125" customWidth="1"/>
    <col min="8" max="8" width="16.58203125" bestFit="1" customWidth="1"/>
    <col min="9" max="9" width="14.1640625" bestFit="1" customWidth="1"/>
    <col min="10" max="10" width="14.25" bestFit="1" customWidth="1"/>
    <col min="11" max="11" width="15.6640625" customWidth="1"/>
    <col min="12" max="15" width="10.83203125" customWidth="1"/>
  </cols>
  <sheetData>
    <row r="1" spans="1:11" s="48" customFormat="1" ht="32.5" customHeight="1" x14ac:dyDescent="0.55000000000000004">
      <c r="A1" s="52" t="s">
        <v>411</v>
      </c>
      <c r="B1" s="48" t="s">
        <v>412</v>
      </c>
      <c r="C1" s="48" t="s">
        <v>413</v>
      </c>
      <c r="D1" s="48" t="s">
        <v>414</v>
      </c>
      <c r="E1" s="48" t="s">
        <v>97</v>
      </c>
      <c r="F1" s="48" t="s">
        <v>226</v>
      </c>
      <c r="G1" s="48" t="s">
        <v>227</v>
      </c>
      <c r="H1" s="48" t="s">
        <v>415</v>
      </c>
      <c r="I1" s="48" t="s">
        <v>422</v>
      </c>
      <c r="J1" s="48" t="s">
        <v>423</v>
      </c>
      <c r="K1" s="48" t="s">
        <v>416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8" r:id="rId4" name="DeleteDataBtn">
          <controlPr defaultSize="0" autoLine="0" r:id="rId5">
            <anchor moveWithCells="1">
              <from>
                <xdr:col>11</xdr:col>
                <xdr:colOff>114300</xdr:colOff>
                <xdr:row>6</xdr:row>
                <xdr:rowOff>38100</xdr:rowOff>
              </from>
              <to>
                <xdr:col>13</xdr:col>
                <xdr:colOff>273050</xdr:colOff>
                <xdr:row>7</xdr:row>
                <xdr:rowOff>158750</xdr:rowOff>
              </to>
            </anchor>
          </controlPr>
        </control>
      </mc:Choice>
      <mc:Fallback>
        <control shapeId="6148" r:id="rId4" name="DeleteDataBtn"/>
      </mc:Fallback>
    </mc:AlternateContent>
    <mc:AlternateContent xmlns:mc="http://schemas.openxmlformats.org/markup-compatibility/2006">
      <mc:Choice Requires="x14">
        <control shapeId="6147" r:id="rId6" name="ExportDataBtn">
          <controlPr defaultSize="0" autoLine="0" r:id="rId7">
            <anchor moveWithCells="1">
              <from>
                <xdr:col>11</xdr:col>
                <xdr:colOff>114300</xdr:colOff>
                <xdr:row>3</xdr:row>
                <xdr:rowOff>203200</xdr:rowOff>
              </from>
              <to>
                <xdr:col>13</xdr:col>
                <xdr:colOff>273050</xdr:colOff>
                <xdr:row>5</xdr:row>
                <xdr:rowOff>95250</xdr:rowOff>
              </to>
            </anchor>
          </controlPr>
        </control>
      </mc:Choice>
      <mc:Fallback>
        <control shapeId="6147" r:id="rId6" name="ExportDataBtn"/>
      </mc:Fallback>
    </mc:AlternateContent>
    <mc:AlternateContent xmlns:mc="http://schemas.openxmlformats.org/markup-compatibility/2006">
      <mc:Choice Requires="x14">
        <control shapeId="6146" r:id="rId8" name="ImportDataBtn">
          <controlPr defaultSize="0" autoLine="0" autoPict="0" r:id="rId9">
            <anchor moveWithCells="1">
              <from>
                <xdr:col>11</xdr:col>
                <xdr:colOff>114300</xdr:colOff>
                <xdr:row>1</xdr:row>
                <xdr:rowOff>139700</xdr:rowOff>
              </from>
              <to>
                <xdr:col>13</xdr:col>
                <xdr:colOff>273050</xdr:colOff>
                <xdr:row>3</xdr:row>
                <xdr:rowOff>25400</xdr:rowOff>
              </to>
            </anchor>
          </controlPr>
        </control>
      </mc:Choice>
      <mc:Fallback>
        <control shapeId="6146" r:id="rId8" name="ImportDataBtn"/>
      </mc:Fallback>
    </mc:AlternateContent>
    <mc:AlternateContent xmlns:mc="http://schemas.openxmlformats.org/markup-compatibility/2006">
      <mc:Choice Requires="x14">
        <control shapeId="6145" r:id="rId10" name="GoToRegistDataBtn">
          <controlPr defaultSize="0" autoLine="0" autoPict="0" r:id="rId11">
            <anchor moveWithCells="1">
              <from>
                <xdr:col>11</xdr:col>
                <xdr:colOff>114300</xdr:colOff>
                <xdr:row>0</xdr:row>
                <xdr:rowOff>31750</xdr:rowOff>
              </from>
              <to>
                <xdr:col>13</xdr:col>
                <xdr:colOff>273050</xdr:colOff>
                <xdr:row>0</xdr:row>
                <xdr:rowOff>381000</xdr:rowOff>
              </to>
            </anchor>
          </controlPr>
        </control>
      </mc:Choice>
      <mc:Fallback>
        <control shapeId="6145" r:id="rId10" name="GoToRegistData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sqref="A1:C1"/>
    </sheetView>
  </sheetViews>
  <sheetFormatPr defaultRowHeight="18" x14ac:dyDescent="0.55000000000000004"/>
  <cols>
    <col min="1" max="1" width="26.1640625" style="5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56" t="s">
        <v>391</v>
      </c>
      <c r="B1" s="56"/>
      <c r="C1" s="56"/>
    </row>
    <row r="2" spans="1:3" ht="6.5" customHeight="1" x14ac:dyDescent="0.55000000000000004"/>
    <row r="3" spans="1:3" ht="25" customHeight="1" x14ac:dyDescent="0.55000000000000004">
      <c r="A3" s="8" t="s">
        <v>384</v>
      </c>
      <c r="B3" s="8" t="str">
        <f>VLOOKUP(C3,Storage!C:D,2,FALSE)</f>
        <v>jp</v>
      </c>
      <c r="C3" s="44" t="s">
        <v>421</v>
      </c>
    </row>
    <row r="4" spans="1:3" ht="25" customHeight="1" x14ac:dyDescent="0.55000000000000004">
      <c r="A4" s="1"/>
      <c r="B4" s="1"/>
    </row>
    <row r="5" spans="1:3" ht="25" customHeight="1" x14ac:dyDescent="0.55000000000000004">
      <c r="A5" s="1"/>
      <c r="B5" s="1"/>
    </row>
    <row r="6" spans="1:3" ht="25" customHeight="1" x14ac:dyDescent="0.55000000000000004">
      <c r="A6" s="1"/>
      <c r="B6" s="1"/>
    </row>
    <row r="7" spans="1:3" ht="25" customHeight="1" x14ac:dyDescent="0.55000000000000004">
      <c r="A7" s="1"/>
      <c r="B7" s="1"/>
    </row>
    <row r="8" spans="1:3" ht="25" customHeight="1" x14ac:dyDescent="0.55000000000000004">
      <c r="A8" s="1"/>
      <c r="B8" s="1"/>
    </row>
    <row r="9" spans="1:3" ht="25" customHeight="1" x14ac:dyDescent="0.55000000000000004">
      <c r="A9" s="1"/>
      <c r="B9" s="1"/>
    </row>
    <row r="10" spans="1:3" ht="25" customHeight="1" x14ac:dyDescent="0.55000000000000004">
      <c r="A10" s="1"/>
      <c r="B10" s="1"/>
    </row>
    <row r="11" spans="1:3" ht="25" customHeight="1" x14ac:dyDescent="0.55000000000000004">
      <c r="A11" s="1"/>
      <c r="B11" s="1"/>
    </row>
    <row r="12" spans="1:3" ht="25" customHeight="1" x14ac:dyDescent="0.55000000000000004">
      <c r="A12" s="1"/>
      <c r="B12" s="1"/>
    </row>
    <row r="13" spans="1:3" ht="25" customHeight="1" x14ac:dyDescent="0.55000000000000004">
      <c r="A13" s="1"/>
      <c r="B13" s="1"/>
    </row>
    <row r="14" spans="1:3" ht="25" customHeight="1" x14ac:dyDescent="0.55000000000000004">
      <c r="A14" s="1"/>
      <c r="B14" s="1"/>
    </row>
    <row r="15" spans="1:3" ht="25" customHeight="1" x14ac:dyDescent="0.55000000000000004">
      <c r="A15" s="1"/>
      <c r="B15" s="1"/>
    </row>
    <row r="16" spans="1:3" x14ac:dyDescent="0.55000000000000004">
      <c r="A16" s="1"/>
      <c r="B16" s="1"/>
    </row>
    <row r="17" spans="1:2" x14ac:dyDescent="0.55000000000000004">
      <c r="A17" s="1"/>
      <c r="B17" s="1"/>
    </row>
    <row r="18" spans="1:2" x14ac:dyDescent="0.55000000000000004">
      <c r="A18" s="1"/>
      <c r="B18" s="1"/>
    </row>
    <row r="19" spans="1:2" x14ac:dyDescent="0.55000000000000004">
      <c r="A19" s="1"/>
      <c r="B19" s="1"/>
    </row>
    <row r="20" spans="1:2" x14ac:dyDescent="0.55000000000000004">
      <c r="A20" s="1"/>
      <c r="B20" s="1"/>
    </row>
    <row r="21" spans="1:2" x14ac:dyDescent="0.55000000000000004">
      <c r="A21" s="1"/>
      <c r="B21" s="1"/>
    </row>
    <row r="22" spans="1:2" x14ac:dyDescent="0.55000000000000004">
      <c r="A22" s="1"/>
      <c r="B22" s="1"/>
    </row>
    <row r="23" spans="1:2" x14ac:dyDescent="0.55000000000000004">
      <c r="A23" s="1"/>
      <c r="B23" s="1"/>
    </row>
    <row r="24" spans="1:2" x14ac:dyDescent="0.55000000000000004">
      <c r="A24" s="1"/>
      <c r="B24" s="1"/>
    </row>
    <row r="25" spans="1:2" x14ac:dyDescent="0.55000000000000004">
      <c r="A25" s="1"/>
      <c r="B25" s="1"/>
    </row>
    <row r="26" spans="1:2" x14ac:dyDescent="0.55000000000000004">
      <c r="A26" s="1"/>
      <c r="B26" s="1"/>
    </row>
    <row r="27" spans="1:2" x14ac:dyDescent="0.55000000000000004">
      <c r="A27" s="1"/>
      <c r="B27" s="1"/>
    </row>
    <row r="28" spans="1:2" x14ac:dyDescent="0.55000000000000004">
      <c r="A28" s="1"/>
      <c r="B28" s="1"/>
    </row>
    <row r="29" spans="1:2" x14ac:dyDescent="0.55000000000000004">
      <c r="A29" s="1"/>
      <c r="B29" s="1"/>
    </row>
    <row r="30" spans="1:2" x14ac:dyDescent="0.55000000000000004">
      <c r="A30" s="1"/>
      <c r="B30" s="1"/>
    </row>
    <row r="31" spans="1:2" x14ac:dyDescent="0.55000000000000004">
      <c r="A31" s="1"/>
      <c r="B31" s="1"/>
    </row>
    <row r="32" spans="1:2" x14ac:dyDescent="0.55000000000000004">
      <c r="A32" s="1"/>
      <c r="B32" s="1"/>
    </row>
    <row r="33" spans="1:2" x14ac:dyDescent="0.55000000000000004">
      <c r="A33" s="1"/>
      <c r="B33" s="1"/>
    </row>
    <row r="34" spans="1:2" x14ac:dyDescent="0.55000000000000004">
      <c r="A34" s="1"/>
      <c r="B34" s="1"/>
    </row>
    <row r="35" spans="1:2" x14ac:dyDescent="0.55000000000000004">
      <c r="A35" s="1"/>
      <c r="B35" s="1"/>
    </row>
    <row r="36" spans="1:2" x14ac:dyDescent="0.55000000000000004">
      <c r="A36" s="1"/>
      <c r="B36" s="1"/>
    </row>
    <row r="37" spans="1:2" x14ac:dyDescent="0.55000000000000004">
      <c r="A37" s="1"/>
      <c r="B37" s="1"/>
    </row>
    <row r="38" spans="1:2" x14ac:dyDescent="0.55000000000000004">
      <c r="A38" s="1"/>
      <c r="B38" s="1"/>
    </row>
    <row r="39" spans="1:2" x14ac:dyDescent="0.55000000000000004">
      <c r="A39" s="1"/>
      <c r="B39" s="1"/>
    </row>
    <row r="40" spans="1:2" x14ac:dyDescent="0.55000000000000004">
      <c r="A40" s="1"/>
      <c r="B40" s="1"/>
    </row>
    <row r="41" spans="1:2" x14ac:dyDescent="0.55000000000000004">
      <c r="A41" s="1"/>
      <c r="B41" s="1"/>
    </row>
    <row r="42" spans="1:2" x14ac:dyDescent="0.55000000000000004">
      <c r="A42" s="1"/>
      <c r="B42" s="1"/>
    </row>
    <row r="43" spans="1:2" x14ac:dyDescent="0.55000000000000004">
      <c r="A43" s="1"/>
      <c r="B43" s="1"/>
    </row>
    <row r="44" spans="1:2" x14ac:dyDescent="0.55000000000000004">
      <c r="A44" s="1"/>
      <c r="B44" s="1"/>
    </row>
    <row r="45" spans="1:2" x14ac:dyDescent="0.55000000000000004">
      <c r="A45" s="1"/>
      <c r="B45" s="1"/>
    </row>
    <row r="46" spans="1:2" x14ac:dyDescent="0.55000000000000004">
      <c r="A46" s="1"/>
      <c r="B46" s="1"/>
    </row>
    <row r="47" spans="1:2" x14ac:dyDescent="0.55000000000000004">
      <c r="A47" s="1"/>
      <c r="B47" s="1"/>
    </row>
    <row r="48" spans="1:2" x14ac:dyDescent="0.55000000000000004">
      <c r="A48" s="1"/>
      <c r="B48" s="1"/>
    </row>
    <row r="49" spans="1:2" x14ac:dyDescent="0.55000000000000004">
      <c r="A49" s="1"/>
      <c r="B49" s="1"/>
    </row>
    <row r="50" spans="1:2" x14ac:dyDescent="0.55000000000000004">
      <c r="A50" s="1"/>
      <c r="B50" s="1"/>
    </row>
    <row r="51" spans="1:2" x14ac:dyDescent="0.55000000000000004">
      <c r="A51" s="1"/>
      <c r="B51" s="1"/>
    </row>
    <row r="52" spans="1:2" x14ac:dyDescent="0.55000000000000004">
      <c r="A52" s="1"/>
      <c r="B52" s="1"/>
    </row>
    <row r="53" spans="1:2" x14ac:dyDescent="0.55000000000000004">
      <c r="A53" s="1"/>
      <c r="B53" s="1"/>
    </row>
    <row r="54" spans="1:2" x14ac:dyDescent="0.55000000000000004">
      <c r="A54" s="1"/>
      <c r="B54" s="1"/>
    </row>
    <row r="55" spans="1:2" x14ac:dyDescent="0.55000000000000004">
      <c r="A55" s="1"/>
      <c r="B55" s="1"/>
    </row>
    <row r="56" spans="1:2" x14ac:dyDescent="0.55000000000000004">
      <c r="A56" s="1"/>
      <c r="B56" s="1"/>
    </row>
    <row r="57" spans="1:2" x14ac:dyDescent="0.55000000000000004">
      <c r="A57" s="1"/>
      <c r="B57" s="1"/>
    </row>
    <row r="58" spans="1:2" x14ac:dyDescent="0.55000000000000004">
      <c r="A58" s="1"/>
      <c r="B58" s="1"/>
    </row>
    <row r="59" spans="1:2" x14ac:dyDescent="0.55000000000000004">
      <c r="A59" s="1"/>
      <c r="B59" s="1"/>
    </row>
    <row r="60" spans="1:2" x14ac:dyDescent="0.55000000000000004">
      <c r="A60" s="1"/>
      <c r="B60" s="1"/>
    </row>
    <row r="61" spans="1:2" x14ac:dyDescent="0.55000000000000004">
      <c r="A61" s="1"/>
      <c r="B61" s="1"/>
    </row>
    <row r="62" spans="1:2" x14ac:dyDescent="0.55000000000000004">
      <c r="A62" s="1"/>
      <c r="B62" s="1"/>
    </row>
    <row r="63" spans="1:2" x14ac:dyDescent="0.55000000000000004">
      <c r="A63" s="1"/>
      <c r="B63" s="1"/>
    </row>
    <row r="64" spans="1:2" x14ac:dyDescent="0.55000000000000004">
      <c r="A64" s="1"/>
      <c r="B64" s="1"/>
    </row>
    <row r="65" spans="1:3" x14ac:dyDescent="0.55000000000000004">
      <c r="A65" s="1"/>
      <c r="B65" s="1"/>
    </row>
    <row r="66" spans="1:3" x14ac:dyDescent="0.55000000000000004">
      <c r="A66" s="3"/>
      <c r="B66" s="3"/>
      <c r="C66" s="6"/>
    </row>
    <row r="67" spans="1:3" x14ac:dyDescent="0.55000000000000004">
      <c r="A67" s="2"/>
      <c r="B67" s="2"/>
      <c r="C67" s="7"/>
    </row>
    <row r="68" spans="1:3" x14ac:dyDescent="0.55000000000000004">
      <c r="A68" s="2"/>
      <c r="B68" s="2"/>
      <c r="C68" s="7"/>
    </row>
    <row r="69" spans="1:3" x14ac:dyDescent="0.55000000000000004">
      <c r="A69" s="2"/>
      <c r="B69" s="2"/>
      <c r="C69" s="7"/>
    </row>
    <row r="70" spans="1:3" x14ac:dyDescent="0.55000000000000004">
      <c r="A70" s="2"/>
      <c r="B70" s="2"/>
      <c r="C70" s="7"/>
    </row>
    <row r="71" spans="1:3" x14ac:dyDescent="0.55000000000000004">
      <c r="A71" s="2"/>
      <c r="B71" s="2"/>
      <c r="C71" s="7"/>
    </row>
    <row r="72" spans="1:3" x14ac:dyDescent="0.55000000000000004">
      <c r="A72" s="2"/>
      <c r="B72" s="2"/>
      <c r="C72" s="7"/>
    </row>
    <row r="73" spans="1:3" x14ac:dyDescent="0.55000000000000004">
      <c r="A73" s="2"/>
      <c r="B73" s="2"/>
      <c r="C73" s="7"/>
    </row>
    <row r="74" spans="1:3" x14ac:dyDescent="0.55000000000000004">
      <c r="A74" s="1"/>
      <c r="B74" s="1"/>
    </row>
    <row r="75" spans="1:3" x14ac:dyDescent="0.55000000000000004">
      <c r="A75" s="1"/>
      <c r="B75" s="1"/>
    </row>
    <row r="76" spans="1:3" x14ac:dyDescent="0.55000000000000004">
      <c r="A76" s="1"/>
      <c r="B76" s="1"/>
    </row>
    <row r="77" spans="1:3" x14ac:dyDescent="0.55000000000000004">
      <c r="A77" s="1"/>
      <c r="B77" s="1"/>
    </row>
    <row r="78" spans="1:3" x14ac:dyDescent="0.55000000000000004">
      <c r="A78" s="1"/>
      <c r="B78" s="1"/>
    </row>
    <row r="79" spans="1:3" x14ac:dyDescent="0.55000000000000004">
      <c r="A79" s="1"/>
      <c r="B79" s="1"/>
    </row>
    <row r="80" spans="1:3" x14ac:dyDescent="0.55000000000000004">
      <c r="A80" s="1"/>
      <c r="B80" s="1"/>
    </row>
    <row r="81" spans="1:2" x14ac:dyDescent="0.55000000000000004">
      <c r="A81" s="1"/>
      <c r="B81" s="1"/>
    </row>
  </sheetData>
  <sheetProtection algorithmName="SHA-512" hashValue="zGtjMjo9JXnVxefk5bXGmGmZlVP/BKpargZ3cgfYHLPyjbKNicyi5tneUwVjGxzB5SVpsjWZ4jRyNGvNDYywdw==" saltValue="dbR/30v2lwQzJftaXNU4bA==" spinCount="100000" sheet="1" objects="1" scenarios="1" selectLockedCells="1"/>
  <mergeCells count="1">
    <mergeCell ref="A1:C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 moveWithCells="1">
              <from>
                <xdr:col>3</xdr:col>
                <xdr:colOff>317500</xdr:colOff>
                <xdr:row>1</xdr:row>
                <xdr:rowOff>0</xdr:rowOff>
              </from>
              <to>
                <xdr:col>3</xdr:col>
                <xdr:colOff>1587500</xdr:colOff>
                <xdr:row>3</xdr:row>
                <xdr:rowOff>152400</xdr:rowOff>
              </to>
            </anchor>
          </controlPr>
        </control>
      </mc:Choice>
      <mc:Fallback>
        <control shapeId="2049" r:id="rId3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F81"/>
  <sheetViews>
    <sheetView topLeftCell="D1" workbookViewId="0">
      <selection activeCell="G1" sqref="G1"/>
    </sheetView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6" x14ac:dyDescent="0.55000000000000004">
      <c r="A1" s="5" t="s">
        <v>418</v>
      </c>
      <c r="C1" s="1" t="s">
        <v>389</v>
      </c>
      <c r="D1" s="1" t="s">
        <v>387</v>
      </c>
      <c r="E1" t="s">
        <v>417</v>
      </c>
      <c r="F1" t="s">
        <v>417</v>
      </c>
    </row>
    <row r="2" spans="1:6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6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6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6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6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6" x14ac:dyDescent="0.55000000000000004">
      <c r="A7" s="1" t="s">
        <v>5</v>
      </c>
      <c r="B7" s="1" t="s">
        <v>29</v>
      </c>
      <c r="E7" s="1" t="s">
        <v>372</v>
      </c>
    </row>
    <row r="8" spans="1:6" x14ac:dyDescent="0.55000000000000004">
      <c r="A8" s="1" t="s">
        <v>6</v>
      </c>
      <c r="B8" s="1" t="s">
        <v>30</v>
      </c>
      <c r="E8" s="1" t="s">
        <v>373</v>
      </c>
    </row>
    <row r="9" spans="1:6" x14ac:dyDescent="0.55000000000000004">
      <c r="A9" s="1" t="s">
        <v>7</v>
      </c>
      <c r="B9" s="1" t="s">
        <v>31</v>
      </c>
      <c r="E9" s="1" t="s">
        <v>374</v>
      </c>
    </row>
    <row r="10" spans="1:6" x14ac:dyDescent="0.55000000000000004">
      <c r="A10" s="1" t="s">
        <v>173</v>
      </c>
      <c r="B10" s="1" t="s">
        <v>32</v>
      </c>
      <c r="E10" s="1" t="s">
        <v>375</v>
      </c>
    </row>
    <row r="11" spans="1:6" x14ac:dyDescent="0.55000000000000004">
      <c r="A11" s="1" t="s">
        <v>8</v>
      </c>
      <c r="B11" s="1" t="s">
        <v>33</v>
      </c>
      <c r="E11" s="1" t="s">
        <v>376</v>
      </c>
    </row>
    <row r="12" spans="1:6" x14ac:dyDescent="0.55000000000000004">
      <c r="A12" s="1" t="s">
        <v>9</v>
      </c>
      <c r="B12" s="1" t="s">
        <v>34</v>
      </c>
      <c r="E12" s="1" t="s">
        <v>377</v>
      </c>
    </row>
    <row r="13" spans="1:6" x14ac:dyDescent="0.55000000000000004">
      <c r="A13" s="1" t="s">
        <v>10</v>
      </c>
      <c r="B13" s="1" t="s">
        <v>35</v>
      </c>
      <c r="E13" s="1" t="s">
        <v>378</v>
      </c>
    </row>
    <row r="14" spans="1:6" x14ac:dyDescent="0.55000000000000004">
      <c r="A14" s="1" t="s">
        <v>11</v>
      </c>
      <c r="B14" s="1" t="s">
        <v>36</v>
      </c>
      <c r="E14" s="1" t="s">
        <v>379</v>
      </c>
    </row>
    <row r="15" spans="1:6" x14ac:dyDescent="0.55000000000000004">
      <c r="A15" s="1" t="s">
        <v>12</v>
      </c>
      <c r="B15" s="1" t="s">
        <v>37</v>
      </c>
      <c r="E15" s="1" t="s">
        <v>380</v>
      </c>
    </row>
    <row r="16" spans="1:6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</sheetData>
  <sheetProtection algorithmName="SHA-512" hashValue="Fkfs6PY+lA/Je+ZRQY+pIfysR2y+Tt8DMPVDBRiEg9Jn3Jc43k1sYjqyFrb1sF97DkpDigmwE/zBS8BbEPk9bg==" saltValue="a++6nXNO7Qntx3yf15jIV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</sheetData>
  <sheetProtection algorithmName="SHA-512" hashValue="3MfR5beVvKjz+UFQIAliiUhDgmLkofLaxmRL+HXpq2gJtOgq20YX2cIi80aYI6GuWVyPwP4t3yBq7aiwO1ygkA==" saltValue="uh8zkwbMYujZ2puqEnROZ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sqref="A1:C1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>
      <selection sqref="A1:C1"/>
    </sheetView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2023-05-01T15:52:16Z</dcterms:modified>
</cp:coreProperties>
</file>