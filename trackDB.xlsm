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20516303-1A79-423A-8A38-64E17030680B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<sst xmlns="http://schemas.openxmlformats.org/spreadsheetml/2006/main" count="944" uniqueCount="511">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</sst>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9" fillId="3" borderId="2" xfId="0" applyFont="1" applyFill="1" applyBorder="1" applyAlignment="1">
      <alignment horizontal="center" vertical="center" wrapText="1" shrinkToFit="1"/>
    </xf>
    <xf numFmtId="176" fontId="0" fillId="0" borderId="0" xfId="0" applyNumberFormat="1" applyAlignment="1">
      <alignment horizontal="left" vertical="center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4" fillId="2" borderId="15" xfId="0" applyFont="1" applyFill="1" applyBorder="1" applyAlignment="1" applyProtection="1">
      <alignment horizontal="center" vertical="center" shrinkToFit="1"/>
    </xf>
    <xf numFmtId="0" fontId="4" fillId="2" borderId="16" xfId="0" applyFont="1" applyFill="1" applyBorder="1" applyAlignment="1" applyProtection="1">
      <alignment horizontal="center" vertical="center" shrinkToFit="1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12026157405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tier-CD" u="1"/>
        <s v="others" u="1"/>
        <s v="tier-D" u="1"/>
        <s v="未選択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2"/>
        <item m="1" x="3"/>
        <item x="0"/>
        <item m="1" x="1"/>
        <item m="1" x="4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8"/>
        <item m="1" x="18"/>
        <item m="1" x="49"/>
        <item m="1" x="42"/>
        <item m="1" x="26"/>
        <item m="1" x="46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7"/>
        <item m="1" x="33"/>
        <item m="1" x="12"/>
        <item m="1" x="23"/>
        <item m="1" x="9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10" customWidth="1"/>
    <col min="2" max="2" width="29.08203125" style="14" customWidth="1"/>
    <col min="3" max="3" width="10.08203125" style="10" customWidth="1"/>
    <col min="4" max="4" width="8.5" style="10" customWidth="1"/>
    <col min="5" max="5" width="18.5" style="10" customWidth="1"/>
    <col min="6" max="6" width="8.6640625" style="9" hidden="1" customWidth="1"/>
    <col min="7" max="16384" width="8.6640625" style="10"/>
  </cols>
  <sheetData>
    <row r="1" spans="1:6" ht="22.5" x14ac:dyDescent="0.55000000000000004">
      <c r="A1" s="57" t="s">
        <v>416</v>
      </c>
      <c r="B1" s="57"/>
      <c r="C1" s="57"/>
      <c r="D1" s="57"/>
      <c r="E1" s="57"/>
    </row>
    <row r="2" spans="1:6" ht="22.5" x14ac:dyDescent="0.55000000000000004">
      <c r="A2" s="22" t="s">
        <v>395</v>
      </c>
      <c r="B2" s="23" t="s">
        <v>405</v>
      </c>
      <c r="C2" s="29" t="s">
        <v>509</v>
      </c>
      <c r="D2" s="59"/>
      <c r="E2" s="55"/>
    </row>
    <row r="3" spans="1:6" ht="22.5" x14ac:dyDescent="0.55000000000000004">
      <c r="A3" s="24"/>
      <c r="B3" s="25" t="s">
        <v>406</v>
      </c>
      <c r="C3" s="30" t="s">
        <v>509</v>
      </c>
      <c r="D3" s="60"/>
      <c r="E3" s="56"/>
    </row>
    <row r="4" spans="1:6" s="12" customFormat="1" ht="27.5" customHeight="1" x14ac:dyDescent="0.55000000000000004">
      <c r="A4" s="26"/>
      <c r="B4" s="27" t="s">
        <v>407</v>
      </c>
      <c r="C4" s="53" t="s">
        <v>469</v>
      </c>
      <c r="D4" s="53" t="s">
        <v>468</v>
      </c>
      <c r="E4" s="28" t="s">
        <v>428</v>
      </c>
      <c r="F4" s="11"/>
    </row>
    <row r="5" spans="1:6" ht="20" customHeight="1" x14ac:dyDescent="0.55000000000000004">
      <c r="A5" s="13">
        <v>1</v>
      </c>
      <c r="B5" s="31" t="s">
        <v>510</v>
      </c>
      <c r="C5" s="32"/>
      <c r="D5" s="33"/>
      <c r="E5" s="33"/>
      <c r="F5" s="9">
        <f>IF(D5="",0,IF(D5=1,15,IF(D5=2,12,13-D5)))</f>
        <v>0</v>
      </c>
    </row>
    <row r="6" spans="1:6" ht="20" customHeight="1" x14ac:dyDescent="0.55000000000000004">
      <c r="A6" s="15">
        <v>2</v>
      </c>
      <c r="B6" s="34" t="s">
        <v>415</v>
      </c>
      <c r="C6" s="35"/>
      <c r="D6" s="35"/>
      <c r="E6" s="35"/>
      <c r="F6" s="9">
        <f t="shared" ref="F6:F16" si="0">IF(D6="",0,IF(D6=1,15,IF(D6=2,12,13-D6)))</f>
        <v>0</v>
      </c>
    </row>
    <row r="7" spans="1:6" ht="20" customHeight="1" x14ac:dyDescent="0.55000000000000004">
      <c r="A7" s="16">
        <v>3</v>
      </c>
      <c r="B7" s="31" t="s">
        <v>415</v>
      </c>
      <c r="C7" s="33"/>
      <c r="D7" s="33"/>
      <c r="E7" s="33"/>
      <c r="F7" s="9">
        <f t="shared" si="0"/>
        <v>0</v>
      </c>
    </row>
    <row r="8" spans="1:6" ht="20" customHeight="1" x14ac:dyDescent="0.55000000000000004">
      <c r="A8" s="15">
        <v>4</v>
      </c>
      <c r="B8" s="34" t="s">
        <v>415</v>
      </c>
      <c r="C8" s="35"/>
      <c r="D8" s="35"/>
      <c r="E8" s="35"/>
      <c r="F8" s="9">
        <f t="shared" si="0"/>
        <v>0</v>
      </c>
    </row>
    <row r="9" spans="1:6" ht="20" customHeight="1" x14ac:dyDescent="0.55000000000000004">
      <c r="A9" s="16">
        <v>5</v>
      </c>
      <c r="B9" s="31" t="s">
        <v>415</v>
      </c>
      <c r="C9" s="33"/>
      <c r="D9" s="33"/>
      <c r="E9" s="33"/>
      <c r="F9" s="9">
        <f t="shared" si="0"/>
        <v>0</v>
      </c>
    </row>
    <row r="10" spans="1:6" ht="20" customHeight="1" x14ac:dyDescent="0.55000000000000004">
      <c r="A10" s="15">
        <v>6</v>
      </c>
      <c r="B10" s="34" t="s">
        <v>415</v>
      </c>
      <c r="C10" s="35"/>
      <c r="D10" s="35"/>
      <c r="E10" s="35"/>
      <c r="F10" s="9">
        <f t="shared" si="0"/>
        <v>0</v>
      </c>
    </row>
    <row r="11" spans="1:6" ht="20" customHeight="1" x14ac:dyDescent="0.55000000000000004">
      <c r="A11" s="16">
        <v>7</v>
      </c>
      <c r="B11" s="31" t="s">
        <v>415</v>
      </c>
      <c r="C11" s="33"/>
      <c r="D11" s="33"/>
      <c r="E11" s="33"/>
      <c r="F11" s="9">
        <f t="shared" si="0"/>
        <v>0</v>
      </c>
    </row>
    <row r="12" spans="1:6" ht="20" customHeight="1" x14ac:dyDescent="0.55000000000000004">
      <c r="A12" s="15">
        <v>8</v>
      </c>
      <c r="B12" s="34" t="s">
        <v>415</v>
      </c>
      <c r="C12" s="35"/>
      <c r="D12" s="35"/>
      <c r="E12" s="35"/>
      <c r="F12" s="9">
        <f t="shared" si="0"/>
        <v>0</v>
      </c>
    </row>
    <row r="13" spans="1:6" ht="20" customHeight="1" x14ac:dyDescent="0.55000000000000004">
      <c r="A13" s="16">
        <v>9</v>
      </c>
      <c r="B13" s="31" t="s">
        <v>415</v>
      </c>
      <c r="C13" s="33"/>
      <c r="D13" s="33"/>
      <c r="E13" s="33"/>
      <c r="F13" s="9">
        <f t="shared" si="0"/>
        <v>0</v>
      </c>
    </row>
    <row r="14" spans="1:6" ht="20" customHeight="1" x14ac:dyDescent="0.55000000000000004">
      <c r="A14" s="15">
        <v>10</v>
      </c>
      <c r="B14" s="34" t="s">
        <v>415</v>
      </c>
      <c r="C14" s="35"/>
      <c r="D14" s="35"/>
      <c r="E14" s="35"/>
      <c r="F14" s="9">
        <f t="shared" si="0"/>
        <v>0</v>
      </c>
    </row>
    <row r="15" spans="1:6" ht="20" customHeight="1" x14ac:dyDescent="0.55000000000000004">
      <c r="A15" s="16">
        <v>11</v>
      </c>
      <c r="B15" s="31" t="s">
        <v>415</v>
      </c>
      <c r="C15" s="33"/>
      <c r="D15" s="33"/>
      <c r="E15" s="33"/>
      <c r="F15" s="9">
        <f t="shared" si="0"/>
        <v>0</v>
      </c>
    </row>
    <row r="16" spans="1:6" ht="20" customHeight="1" x14ac:dyDescent="0.55000000000000004">
      <c r="A16" s="17">
        <v>12</v>
      </c>
      <c r="B16" s="36" t="s">
        <v>415</v>
      </c>
      <c r="C16" s="37"/>
      <c r="D16" s="37"/>
      <c r="E16" s="37"/>
      <c r="F16" s="9">
        <f t="shared" si="0"/>
        <v>0</v>
      </c>
    </row>
    <row r="17" spans="1:5" ht="20" customHeight="1" x14ac:dyDescent="0.55000000000000004">
      <c r="A17" s="18"/>
      <c r="B17" s="19" t="s">
        <v>394</v>
      </c>
      <c r="C17" s="20">
        <f>SUM(F5:F16)</f>
        <v>0</v>
      </c>
      <c r="D17" s="20" t="s">
        <v>470</v>
      </c>
      <c r="E17" s="21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autoPict="0" r:id="rId5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autoPict="0" r:id="rId7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2" bestFit="1" customWidth="1"/>
    <col min="2" max="2" width="11.25" style="43" bestFit="1" customWidth="1"/>
    <col min="3" max="3" width="9.75" style="43" bestFit="1" customWidth="1"/>
    <col min="4" max="4" width="12.5" style="44" bestFit="1" customWidth="1"/>
    <col min="5" max="5" width="19.6640625" style="42" bestFit="1" customWidth="1"/>
    <col min="6" max="7" width="5.58203125" style="42" bestFit="1" customWidth="1"/>
    <col min="8" max="9" width="6.6640625" style="42" bestFit="1" customWidth="1"/>
    <col min="10" max="10" width="6.5" style="42" bestFit="1" customWidth="1"/>
    <col min="11" max="13" width="5.58203125" style="42" bestFit="1" customWidth="1"/>
    <col min="14" max="14" width="6.1640625" style="42" bestFit="1" customWidth="1"/>
    <col min="15" max="15" width="17.1640625" style="42" bestFit="1" customWidth="1"/>
    <col min="16" max="16" width="17.25" style="42" bestFit="1" customWidth="1"/>
    <col min="17" max="17" width="17.1640625" style="42" bestFit="1" customWidth="1"/>
    <col min="18" max="18" width="17.25" style="42" bestFit="1" customWidth="1"/>
    <col min="19" max="19" width="17.1640625" style="42" bestFit="1" customWidth="1"/>
    <col min="20" max="20" width="17.25" style="42" bestFit="1" customWidth="1"/>
    <col min="21" max="21" width="17.1640625" style="42" bestFit="1" customWidth="1"/>
    <col min="22" max="22" width="17.25" style="42" bestFit="1" customWidth="1"/>
    <col min="23" max="23" width="17.1640625" style="42" bestFit="1" customWidth="1"/>
    <col min="24" max="24" width="17.25" style="42" bestFit="1" customWidth="1"/>
    <col min="25" max="25" width="17.1640625" style="42" bestFit="1" customWidth="1"/>
    <col min="26" max="26" width="23.6640625" style="42" bestFit="1" customWidth="1"/>
    <col min="27" max="27" width="23.58203125" style="42" bestFit="1" customWidth="1"/>
    <col min="28" max="16384" width="8.6640625" style="42"/>
  </cols>
  <sheetData>
    <row r="1" spans="1:14" x14ac:dyDescent="0.55000000000000004">
      <c r="A1" s="42" t="s">
        <v>430</v>
      </c>
      <c r="B1" s="42" t="s">
        <v>424</v>
      </c>
    </row>
    <row r="2" spans="1:14" x14ac:dyDescent="0.55000000000000004">
      <c r="A2" s="42" t="s">
        <v>431</v>
      </c>
      <c r="B2" s="42" t="s">
        <v>424</v>
      </c>
    </row>
    <row r="3" spans="1:14" x14ac:dyDescent="0.55000000000000004">
      <c r="A3" s="42" t="s">
        <v>425</v>
      </c>
      <c r="B3" s="43" t="s">
        <v>424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42" t="s">
        <v>427</v>
      </c>
      <c r="B4" s="42" t="s">
        <v>424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2" t="s">
        <v>420</v>
      </c>
      <c r="B6" s="43" t="s">
        <v>423</v>
      </c>
      <c r="C6" s="43" t="s">
        <v>422</v>
      </c>
      <c r="D6" s="44" t="s">
        <v>426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4" t="s">
        <v>421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41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9" customFormat="1" ht="32.5" customHeight="1" x14ac:dyDescent="0.55000000000000004">
      <c r="A1" s="40" t="s">
        <v>408</v>
      </c>
      <c r="B1" s="39" t="s">
        <v>409</v>
      </c>
      <c r="C1" s="39" t="s">
        <v>410</v>
      </c>
      <c r="D1" s="39" t="s">
        <v>411</v>
      </c>
      <c r="E1" s="39" t="s">
        <v>97</v>
      </c>
      <c r="F1" s="39" t="s">
        <v>226</v>
      </c>
      <c r="G1" s="39" t="s">
        <v>227</v>
      </c>
      <c r="H1" s="39" t="s">
        <v>412</v>
      </c>
      <c r="I1" s="39" t="s">
        <v>418</v>
      </c>
      <c r="J1" s="39" t="s">
        <v>419</v>
      </c>
      <c r="K1" s="39" t="s">
        <v>413</v>
      </c>
    </row>
    <row r="2" spans="1:11" x14ac:dyDescent="0.55000000000000004">
      <c r="B2" s="45"/>
    </row>
    <row r="3" spans="1:11" x14ac:dyDescent="0.55000000000000004">
      <c r="B3" s="45"/>
    </row>
    <row r="4" spans="1:11" x14ac:dyDescent="0.55000000000000004">
      <c r="B4" s="45"/>
    </row>
    <row r="5" spans="1:11" x14ac:dyDescent="0.55000000000000004">
      <c r="B5" s="45"/>
    </row>
    <row r="6" spans="1:11" x14ac:dyDescent="0.55000000000000004">
      <c r="B6" s="45"/>
    </row>
    <row r="7" spans="1:11" x14ac:dyDescent="0.55000000000000004">
      <c r="B7" s="45"/>
    </row>
    <row r="8" spans="1:11" x14ac:dyDescent="0.55000000000000004">
      <c r="B8" s="45"/>
    </row>
    <row r="9" spans="1:11" x14ac:dyDescent="0.55000000000000004">
      <c r="B9" s="45"/>
    </row>
    <row r="10" spans="1:11" x14ac:dyDescent="0.55000000000000004">
      <c r="B10" s="45"/>
    </row>
    <row r="11" spans="1:11" x14ac:dyDescent="0.55000000000000004">
      <c r="B11" s="45"/>
    </row>
    <row r="12" spans="1:11" x14ac:dyDescent="0.55000000000000004">
      <c r="B12" s="45"/>
    </row>
    <row r="13" spans="1:11" x14ac:dyDescent="0.55000000000000004">
      <c r="B13" s="45"/>
    </row>
    <row r="14" spans="1:11" x14ac:dyDescent="0.55000000000000004">
      <c r="B14" s="45"/>
    </row>
    <row r="15" spans="1:11" x14ac:dyDescent="0.55000000000000004">
      <c r="B15" s="45"/>
    </row>
    <row r="16" spans="1:11" x14ac:dyDescent="0.55000000000000004">
      <c r="B16" s="45"/>
    </row>
    <row r="17" spans="2:2" x14ac:dyDescent="0.55000000000000004">
      <c r="B17" s="45"/>
    </row>
    <row r="18" spans="2:2" x14ac:dyDescent="0.55000000000000004">
      <c r="B18" s="45"/>
    </row>
    <row r="19" spans="2:2" x14ac:dyDescent="0.55000000000000004">
      <c r="B19" s="45"/>
    </row>
    <row r="20" spans="2:2" x14ac:dyDescent="0.55000000000000004">
      <c r="B20" s="45"/>
    </row>
    <row r="21" spans="2:2" x14ac:dyDescent="0.55000000000000004">
      <c r="B21" s="45"/>
    </row>
    <row r="22" spans="2:2" x14ac:dyDescent="0.55000000000000004">
      <c r="B22" s="45"/>
    </row>
    <row r="23" spans="2:2" x14ac:dyDescent="0.55000000000000004">
      <c r="B23" s="45"/>
    </row>
    <row r="24" spans="2:2" x14ac:dyDescent="0.55000000000000004">
      <c r="B24" s="45"/>
    </row>
    <row r="25" spans="2:2" x14ac:dyDescent="0.55000000000000004">
      <c r="B25" s="45"/>
    </row>
    <row r="26" spans="2:2" x14ac:dyDescent="0.55000000000000004">
      <c r="B26" s="45"/>
    </row>
    <row r="27" spans="2:2" x14ac:dyDescent="0.55000000000000004">
      <c r="B27" s="45"/>
    </row>
    <row r="28" spans="2:2" x14ac:dyDescent="0.55000000000000004">
      <c r="B28" s="45"/>
    </row>
    <row r="29" spans="2:2" x14ac:dyDescent="0.55000000000000004">
      <c r="B29" s="45"/>
    </row>
    <row r="30" spans="2:2" x14ac:dyDescent="0.55000000000000004">
      <c r="B30" s="45"/>
    </row>
    <row r="31" spans="2:2" x14ac:dyDescent="0.55000000000000004">
      <c r="B31" s="45"/>
    </row>
    <row r="32" spans="2:2" x14ac:dyDescent="0.55000000000000004">
      <c r="B32" s="45"/>
    </row>
    <row r="33" spans="2:2" x14ac:dyDescent="0.55000000000000004">
      <c r="B33" s="45"/>
    </row>
    <row r="34" spans="2:2" x14ac:dyDescent="0.55000000000000004">
      <c r="B34" s="45"/>
    </row>
    <row r="35" spans="2:2" x14ac:dyDescent="0.55000000000000004">
      <c r="B35" s="45"/>
    </row>
    <row r="36" spans="2:2" x14ac:dyDescent="0.55000000000000004">
      <c r="B36" s="45"/>
    </row>
    <row r="37" spans="2:2" x14ac:dyDescent="0.55000000000000004">
      <c r="B37" s="45"/>
    </row>
    <row r="38" spans="2:2" x14ac:dyDescent="0.55000000000000004">
      <c r="B38" s="45"/>
    </row>
    <row r="39" spans="2:2" x14ac:dyDescent="0.55000000000000004">
      <c r="B39" s="45"/>
    </row>
    <row r="40" spans="2:2" x14ac:dyDescent="0.55000000000000004">
      <c r="B40" s="45"/>
    </row>
    <row r="41" spans="2:2" x14ac:dyDescent="0.55000000000000004">
      <c r="B41" s="45"/>
    </row>
    <row r="42" spans="2:2" x14ac:dyDescent="0.55000000000000004">
      <c r="B42" s="45"/>
    </row>
    <row r="43" spans="2:2" x14ac:dyDescent="0.55000000000000004">
      <c r="B43" s="45"/>
    </row>
    <row r="44" spans="2:2" x14ac:dyDescent="0.55000000000000004">
      <c r="B44" s="45"/>
    </row>
    <row r="45" spans="2:2" x14ac:dyDescent="0.55000000000000004">
      <c r="B45" s="45"/>
    </row>
    <row r="46" spans="2:2" x14ac:dyDescent="0.55000000000000004">
      <c r="B46" s="45"/>
    </row>
    <row r="47" spans="2:2" x14ac:dyDescent="0.55000000000000004">
      <c r="B47" s="45"/>
    </row>
    <row r="48" spans="2:2" x14ac:dyDescent="0.55000000000000004">
      <c r="B48" s="45"/>
    </row>
    <row r="49" spans="2:2" x14ac:dyDescent="0.55000000000000004">
      <c r="B49" s="45"/>
    </row>
    <row r="50" spans="2:2" x14ac:dyDescent="0.55000000000000004">
      <c r="B50" s="45"/>
    </row>
    <row r="51" spans="2:2" x14ac:dyDescent="0.55000000000000004">
      <c r="B51" s="45"/>
    </row>
    <row r="52" spans="2:2" x14ac:dyDescent="0.55000000000000004">
      <c r="B52" s="45"/>
    </row>
    <row r="53" spans="2:2" x14ac:dyDescent="0.55000000000000004">
      <c r="B53" s="45"/>
    </row>
    <row r="54" spans="2:2" x14ac:dyDescent="0.55000000000000004">
      <c r="B54" s="45"/>
    </row>
    <row r="55" spans="2:2" x14ac:dyDescent="0.55000000000000004">
      <c r="B55" s="45"/>
    </row>
    <row r="56" spans="2:2" x14ac:dyDescent="0.55000000000000004">
      <c r="B56" s="45"/>
    </row>
    <row r="57" spans="2:2" x14ac:dyDescent="0.55000000000000004">
      <c r="B57" s="45"/>
    </row>
    <row r="58" spans="2:2" x14ac:dyDescent="0.55000000000000004">
      <c r="B58" s="45"/>
    </row>
    <row r="59" spans="2:2" x14ac:dyDescent="0.55000000000000004">
      <c r="B59" s="45"/>
    </row>
    <row r="60" spans="2:2" x14ac:dyDescent="0.55000000000000004">
      <c r="B60" s="45"/>
    </row>
    <row r="61" spans="2:2" x14ac:dyDescent="0.55000000000000004">
      <c r="B61" s="45"/>
    </row>
    <row r="62" spans="2:2" x14ac:dyDescent="0.55000000000000004">
      <c r="B62" s="45"/>
    </row>
    <row r="63" spans="2:2" x14ac:dyDescent="0.55000000000000004">
      <c r="B63" s="45"/>
    </row>
    <row r="64" spans="2:2" x14ac:dyDescent="0.55000000000000004">
      <c r="B64" s="45"/>
    </row>
    <row r="65" spans="2:2" x14ac:dyDescent="0.55000000000000004">
      <c r="B65" s="45"/>
    </row>
    <row r="66" spans="2:2" x14ac:dyDescent="0.55000000000000004">
      <c r="B66" s="45"/>
    </row>
    <row r="67" spans="2:2" x14ac:dyDescent="0.55000000000000004">
      <c r="B67" s="45"/>
    </row>
    <row r="68" spans="2:2" x14ac:dyDescent="0.55000000000000004">
      <c r="B68" s="45"/>
    </row>
    <row r="69" spans="2:2" x14ac:dyDescent="0.55000000000000004">
      <c r="B69" s="45"/>
    </row>
    <row r="70" spans="2:2" x14ac:dyDescent="0.55000000000000004">
      <c r="B70" s="45"/>
    </row>
    <row r="71" spans="2:2" x14ac:dyDescent="0.55000000000000004">
      <c r="B71" s="45"/>
    </row>
    <row r="72" spans="2:2" x14ac:dyDescent="0.55000000000000004">
      <c r="B72" s="45"/>
    </row>
    <row r="73" spans="2:2" x14ac:dyDescent="0.55000000000000004">
      <c r="B73" s="45"/>
    </row>
    <row r="74" spans="2:2" x14ac:dyDescent="0.55000000000000004">
      <c r="B74" s="45"/>
    </row>
    <row r="75" spans="2:2" x14ac:dyDescent="0.55000000000000004">
      <c r="B75" s="45"/>
    </row>
    <row r="76" spans="2:2" x14ac:dyDescent="0.55000000000000004">
      <c r="B76" s="45"/>
    </row>
    <row r="77" spans="2:2" x14ac:dyDescent="0.55000000000000004">
      <c r="B77" s="45"/>
    </row>
    <row r="78" spans="2:2" x14ac:dyDescent="0.55000000000000004">
      <c r="B78" s="45"/>
    </row>
    <row r="79" spans="2:2" x14ac:dyDescent="0.55000000000000004">
      <c r="B79" s="45"/>
    </row>
    <row r="80" spans="2:2" x14ac:dyDescent="0.55000000000000004">
      <c r="B80" s="45"/>
    </row>
    <row r="81" spans="2:2" x14ac:dyDescent="0.55000000000000004">
      <c r="B81" s="45"/>
    </row>
    <row r="82" spans="2:2" x14ac:dyDescent="0.55000000000000004">
      <c r="B82" s="45"/>
    </row>
    <row r="83" spans="2:2" x14ac:dyDescent="0.55000000000000004">
      <c r="B83" s="45"/>
    </row>
    <row r="84" spans="2:2" x14ac:dyDescent="0.55000000000000004">
      <c r="B84" s="45"/>
    </row>
    <row r="85" spans="2:2" x14ac:dyDescent="0.55000000000000004">
      <c r="B85" s="45"/>
    </row>
    <row r="86" spans="2:2" x14ac:dyDescent="0.55000000000000004">
      <c r="B86" s="45"/>
    </row>
    <row r="87" spans="2:2" x14ac:dyDescent="0.55000000000000004">
      <c r="B87" s="45"/>
    </row>
    <row r="88" spans="2:2" x14ac:dyDescent="0.55000000000000004">
      <c r="B88" s="45"/>
    </row>
    <row r="89" spans="2:2" x14ac:dyDescent="0.55000000000000004">
      <c r="B89" s="45"/>
    </row>
    <row r="90" spans="2:2" x14ac:dyDescent="0.55000000000000004">
      <c r="B90" s="45"/>
    </row>
    <row r="91" spans="2:2" x14ac:dyDescent="0.55000000000000004">
      <c r="B91" s="45"/>
    </row>
    <row r="92" spans="2:2" x14ac:dyDescent="0.55000000000000004">
      <c r="B92" s="45"/>
    </row>
    <row r="93" spans="2:2" x14ac:dyDescent="0.55000000000000004">
      <c r="B93" s="45"/>
    </row>
    <row r="94" spans="2:2" x14ac:dyDescent="0.55000000000000004">
      <c r="B94" s="45"/>
    </row>
    <row r="95" spans="2:2" x14ac:dyDescent="0.55000000000000004">
      <c r="B95" s="45"/>
    </row>
    <row r="96" spans="2:2" x14ac:dyDescent="0.55000000000000004">
      <c r="B96" s="45"/>
    </row>
    <row r="97" spans="2:2" x14ac:dyDescent="0.55000000000000004">
      <c r="B97" s="45"/>
    </row>
    <row r="98" spans="2:2" x14ac:dyDescent="0.55000000000000004">
      <c r="B98" s="45"/>
    </row>
    <row r="99" spans="2:2" x14ac:dyDescent="0.55000000000000004">
      <c r="B99" s="45"/>
    </row>
    <row r="100" spans="2:2" x14ac:dyDescent="0.55000000000000004">
      <c r="B100" s="45"/>
    </row>
    <row r="101" spans="2:2" x14ac:dyDescent="0.55000000000000004">
      <c r="B101" s="45"/>
    </row>
    <row r="102" spans="2:2" x14ac:dyDescent="0.55000000000000004">
      <c r="B102" s="45"/>
    </row>
    <row r="103" spans="2:2" x14ac:dyDescent="0.55000000000000004">
      <c r="B103" s="45"/>
    </row>
    <row r="104" spans="2:2" x14ac:dyDescent="0.55000000000000004">
      <c r="B104" s="45"/>
    </row>
    <row r="105" spans="2:2" x14ac:dyDescent="0.55000000000000004">
      <c r="B105" s="45"/>
    </row>
    <row r="106" spans="2:2" x14ac:dyDescent="0.55000000000000004">
      <c r="B106" s="45"/>
    </row>
    <row r="107" spans="2:2" x14ac:dyDescent="0.55000000000000004">
      <c r="B107" s="45"/>
    </row>
    <row r="108" spans="2:2" x14ac:dyDescent="0.55000000000000004">
      <c r="B108" s="45"/>
    </row>
    <row r="109" spans="2:2" x14ac:dyDescent="0.55000000000000004">
      <c r="B109" s="45"/>
    </row>
    <row r="110" spans="2:2" x14ac:dyDescent="0.55000000000000004">
      <c r="B110" s="45"/>
    </row>
    <row r="111" spans="2:2" x14ac:dyDescent="0.55000000000000004">
      <c r="B111" s="45"/>
    </row>
    <row r="112" spans="2:2" x14ac:dyDescent="0.55000000000000004">
      <c r="B112" s="45"/>
    </row>
    <row r="113" spans="2:2" x14ac:dyDescent="0.55000000000000004">
      <c r="B113" s="45"/>
    </row>
    <row r="114" spans="2:2" x14ac:dyDescent="0.55000000000000004">
      <c r="B114" s="45"/>
    </row>
    <row r="115" spans="2:2" x14ac:dyDescent="0.55000000000000004">
      <c r="B115" s="45"/>
    </row>
    <row r="116" spans="2:2" x14ac:dyDescent="0.55000000000000004">
      <c r="B116" s="45"/>
    </row>
    <row r="117" spans="2:2" x14ac:dyDescent="0.55000000000000004">
      <c r="B117" s="45"/>
    </row>
    <row r="118" spans="2:2" x14ac:dyDescent="0.55000000000000004">
      <c r="B118" s="45"/>
    </row>
    <row r="119" spans="2:2" x14ac:dyDescent="0.55000000000000004">
      <c r="B119" s="45"/>
    </row>
    <row r="120" spans="2:2" x14ac:dyDescent="0.55000000000000004">
      <c r="B120" s="45"/>
    </row>
    <row r="121" spans="2:2" x14ac:dyDescent="0.55000000000000004">
      <c r="B121" s="45"/>
    </row>
    <row r="122" spans="2:2" x14ac:dyDescent="0.55000000000000004">
      <c r="B122" s="45"/>
    </row>
    <row r="123" spans="2:2" x14ac:dyDescent="0.55000000000000004">
      <c r="B123" s="45"/>
    </row>
    <row r="124" spans="2:2" x14ac:dyDescent="0.55000000000000004">
      <c r="B124" s="45"/>
    </row>
    <row r="125" spans="2:2" x14ac:dyDescent="0.55000000000000004">
      <c r="B125" s="45"/>
    </row>
    <row r="126" spans="2:2" x14ac:dyDescent="0.55000000000000004">
      <c r="B126" s="45"/>
    </row>
    <row r="127" spans="2:2" x14ac:dyDescent="0.55000000000000004">
      <c r="B127" s="45"/>
    </row>
    <row r="128" spans="2:2" x14ac:dyDescent="0.55000000000000004">
      <c r="B128" s="45"/>
    </row>
    <row r="129" spans="2:2" x14ac:dyDescent="0.55000000000000004">
      <c r="B129" s="45"/>
    </row>
    <row r="130" spans="2:2" x14ac:dyDescent="0.55000000000000004">
      <c r="B130" s="45"/>
    </row>
    <row r="131" spans="2:2" x14ac:dyDescent="0.55000000000000004">
      <c r="B131" s="45"/>
    </row>
    <row r="132" spans="2:2" x14ac:dyDescent="0.55000000000000004">
      <c r="B132" s="45"/>
    </row>
    <row r="133" spans="2:2" x14ac:dyDescent="0.55000000000000004">
      <c r="B133" s="45"/>
    </row>
    <row r="134" spans="2:2" x14ac:dyDescent="0.55000000000000004">
      <c r="B134" s="45"/>
    </row>
    <row r="135" spans="2:2" x14ac:dyDescent="0.55000000000000004">
      <c r="B135" s="45"/>
    </row>
    <row r="136" spans="2:2" x14ac:dyDescent="0.55000000000000004">
      <c r="B136" s="45"/>
    </row>
    <row r="137" spans="2:2" x14ac:dyDescent="0.55000000000000004">
      <c r="B137" s="45"/>
    </row>
    <row r="138" spans="2:2" x14ac:dyDescent="0.55000000000000004">
      <c r="B138" s="45"/>
    </row>
    <row r="139" spans="2:2" x14ac:dyDescent="0.55000000000000004">
      <c r="B139" s="45"/>
    </row>
    <row r="140" spans="2:2" x14ac:dyDescent="0.55000000000000004">
      <c r="B140" s="45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46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8" t="s">
        <v>391</v>
      </c>
      <c r="B1" s="58"/>
      <c r="C1" s="58"/>
    </row>
    <row r="2" spans="1:3" ht="6.5" customHeight="1" x14ac:dyDescent="0.55000000000000004"/>
    <row r="3" spans="1:3" ht="25" customHeight="1" x14ac:dyDescent="0.55000000000000004">
      <c r="A3" s="47" t="s">
        <v>384</v>
      </c>
      <c r="B3" s="8" t="str">
        <f>VLOOKUP(C3,Storage!C:D,2,FALSE)</f>
        <v>jp</v>
      </c>
      <c r="C3" s="38" t="s">
        <v>417</v>
      </c>
    </row>
    <row r="4" spans="1:3" ht="25" customHeight="1" x14ac:dyDescent="0.55000000000000004">
      <c r="A4" s="51" t="s">
        <v>429</v>
      </c>
      <c r="B4" s="52">
        <f>C4</f>
        <v>1</v>
      </c>
      <c r="C4" s="8">
        <v>1</v>
      </c>
    </row>
    <row r="5" spans="1:3" ht="25" customHeight="1" x14ac:dyDescent="0.55000000000000004">
      <c r="A5" s="48"/>
      <c r="B5" s="1"/>
    </row>
    <row r="6" spans="1:3" ht="25" customHeight="1" x14ac:dyDescent="0.55000000000000004">
      <c r="A6" s="48"/>
      <c r="B6" s="1"/>
    </row>
    <row r="7" spans="1:3" ht="25" customHeight="1" x14ac:dyDescent="0.55000000000000004">
      <c r="A7" s="48"/>
      <c r="B7" s="1"/>
    </row>
    <row r="8" spans="1:3" ht="25" customHeight="1" x14ac:dyDescent="0.55000000000000004">
      <c r="A8" s="48"/>
      <c r="B8" s="1"/>
    </row>
    <row r="9" spans="1:3" ht="25" customHeight="1" x14ac:dyDescent="0.55000000000000004">
      <c r="A9" s="48"/>
      <c r="B9" s="1"/>
    </row>
    <row r="10" spans="1:3" ht="25" customHeight="1" x14ac:dyDescent="0.55000000000000004">
      <c r="A10" s="48"/>
      <c r="B10" s="1"/>
    </row>
    <row r="11" spans="1:3" ht="25" customHeight="1" x14ac:dyDescent="0.55000000000000004">
      <c r="A11" s="48"/>
      <c r="B11" s="1"/>
    </row>
    <row r="12" spans="1:3" ht="25" customHeight="1" x14ac:dyDescent="0.55000000000000004">
      <c r="A12" s="48"/>
      <c r="B12" s="1"/>
    </row>
    <row r="13" spans="1:3" ht="25" customHeight="1" x14ac:dyDescent="0.55000000000000004">
      <c r="A13" s="48"/>
      <c r="B13" s="1"/>
    </row>
    <row r="14" spans="1:3" ht="25" customHeight="1" x14ac:dyDescent="0.55000000000000004">
      <c r="A14" s="48"/>
      <c r="B14" s="1"/>
    </row>
    <row r="15" spans="1:3" ht="25" customHeight="1" x14ac:dyDescent="0.55000000000000004">
      <c r="A15" s="48"/>
      <c r="B15" s="1"/>
    </row>
    <row r="16" spans="1:3" x14ac:dyDescent="0.55000000000000004">
      <c r="A16" s="48"/>
      <c r="B16" s="1"/>
    </row>
    <row r="17" spans="1:2" x14ac:dyDescent="0.55000000000000004">
      <c r="A17" s="48"/>
      <c r="B17" s="1"/>
    </row>
    <row r="18" spans="1:2" x14ac:dyDescent="0.55000000000000004">
      <c r="A18" s="48"/>
      <c r="B18" s="1"/>
    </row>
    <row r="19" spans="1:2" x14ac:dyDescent="0.55000000000000004">
      <c r="A19" s="48"/>
      <c r="B19" s="1"/>
    </row>
    <row r="20" spans="1:2" x14ac:dyDescent="0.55000000000000004">
      <c r="A20" s="48"/>
      <c r="B20" s="1"/>
    </row>
    <row r="21" spans="1:2" x14ac:dyDescent="0.55000000000000004">
      <c r="A21" s="48"/>
      <c r="B21" s="1"/>
    </row>
    <row r="22" spans="1:2" x14ac:dyDescent="0.55000000000000004">
      <c r="A22" s="48"/>
      <c r="B22" s="1"/>
    </row>
    <row r="23" spans="1:2" x14ac:dyDescent="0.55000000000000004">
      <c r="A23" s="48"/>
      <c r="B23" s="1"/>
    </row>
    <row r="24" spans="1:2" x14ac:dyDescent="0.55000000000000004">
      <c r="A24" s="48"/>
      <c r="B24" s="1"/>
    </row>
    <row r="25" spans="1:2" x14ac:dyDescent="0.55000000000000004">
      <c r="A25" s="48"/>
      <c r="B25" s="1"/>
    </row>
    <row r="26" spans="1:2" x14ac:dyDescent="0.55000000000000004">
      <c r="A26" s="48"/>
      <c r="B26" s="1"/>
    </row>
    <row r="27" spans="1:2" x14ac:dyDescent="0.55000000000000004">
      <c r="A27" s="48"/>
      <c r="B27" s="1"/>
    </row>
    <row r="28" spans="1:2" x14ac:dyDescent="0.55000000000000004">
      <c r="A28" s="48"/>
      <c r="B28" s="1"/>
    </row>
    <row r="29" spans="1:2" x14ac:dyDescent="0.55000000000000004">
      <c r="A29" s="48"/>
      <c r="B29" s="1"/>
    </row>
    <row r="30" spans="1:2" x14ac:dyDescent="0.55000000000000004">
      <c r="A30" s="48"/>
      <c r="B30" s="1"/>
    </row>
    <row r="31" spans="1:2" x14ac:dyDescent="0.55000000000000004">
      <c r="A31" s="48"/>
      <c r="B31" s="1"/>
    </row>
    <row r="32" spans="1:2" x14ac:dyDescent="0.55000000000000004">
      <c r="A32" s="48"/>
      <c r="B32" s="1"/>
    </row>
    <row r="33" spans="1:2" x14ac:dyDescent="0.55000000000000004">
      <c r="A33" s="48"/>
      <c r="B33" s="1"/>
    </row>
    <row r="34" spans="1:2" x14ac:dyDescent="0.55000000000000004">
      <c r="A34" s="48"/>
      <c r="B34" s="1"/>
    </row>
    <row r="35" spans="1:2" x14ac:dyDescent="0.55000000000000004">
      <c r="A35" s="48"/>
      <c r="B35" s="1"/>
    </row>
    <row r="36" spans="1:2" x14ac:dyDescent="0.55000000000000004">
      <c r="A36" s="48"/>
      <c r="B36" s="1"/>
    </row>
    <row r="37" spans="1:2" x14ac:dyDescent="0.55000000000000004">
      <c r="A37" s="48"/>
      <c r="B37" s="1"/>
    </row>
    <row r="38" spans="1:2" x14ac:dyDescent="0.55000000000000004">
      <c r="A38" s="48"/>
      <c r="B38" s="1"/>
    </row>
    <row r="39" spans="1:2" x14ac:dyDescent="0.55000000000000004">
      <c r="A39" s="48"/>
      <c r="B39" s="1"/>
    </row>
    <row r="40" spans="1:2" x14ac:dyDescent="0.55000000000000004">
      <c r="A40" s="48"/>
      <c r="B40" s="1"/>
    </row>
    <row r="41" spans="1:2" x14ac:dyDescent="0.55000000000000004">
      <c r="A41" s="48"/>
      <c r="B41" s="1"/>
    </row>
    <row r="42" spans="1:2" x14ac:dyDescent="0.55000000000000004">
      <c r="A42" s="48"/>
      <c r="B42" s="1"/>
    </row>
    <row r="43" spans="1:2" x14ac:dyDescent="0.55000000000000004">
      <c r="A43" s="48"/>
      <c r="B43" s="1"/>
    </row>
    <row r="44" spans="1:2" x14ac:dyDescent="0.55000000000000004">
      <c r="A44" s="48"/>
      <c r="B44" s="1"/>
    </row>
    <row r="45" spans="1:2" x14ac:dyDescent="0.55000000000000004">
      <c r="A45" s="48"/>
      <c r="B45" s="1"/>
    </row>
    <row r="46" spans="1:2" x14ac:dyDescent="0.55000000000000004">
      <c r="A46" s="48"/>
      <c r="B46" s="1"/>
    </row>
    <row r="47" spans="1:2" x14ac:dyDescent="0.55000000000000004">
      <c r="A47" s="48"/>
      <c r="B47" s="1"/>
    </row>
    <row r="48" spans="1:2" x14ac:dyDescent="0.55000000000000004">
      <c r="A48" s="48"/>
      <c r="B48" s="1"/>
    </row>
    <row r="49" spans="1:2" x14ac:dyDescent="0.55000000000000004">
      <c r="A49" s="48"/>
      <c r="B49" s="1"/>
    </row>
    <row r="50" spans="1:2" x14ac:dyDescent="0.55000000000000004">
      <c r="A50" s="48"/>
      <c r="B50" s="1"/>
    </row>
    <row r="51" spans="1:2" x14ac:dyDescent="0.55000000000000004">
      <c r="A51" s="48"/>
      <c r="B51" s="1"/>
    </row>
    <row r="52" spans="1:2" x14ac:dyDescent="0.55000000000000004">
      <c r="A52" s="48"/>
      <c r="B52" s="1"/>
    </row>
    <row r="53" spans="1:2" x14ac:dyDescent="0.55000000000000004">
      <c r="A53" s="48"/>
      <c r="B53" s="1"/>
    </row>
    <row r="54" spans="1:2" x14ac:dyDescent="0.55000000000000004">
      <c r="A54" s="48"/>
      <c r="B54" s="1"/>
    </row>
    <row r="55" spans="1:2" x14ac:dyDescent="0.55000000000000004">
      <c r="A55" s="48"/>
      <c r="B55" s="1"/>
    </row>
    <row r="56" spans="1:2" x14ac:dyDescent="0.55000000000000004">
      <c r="A56" s="48"/>
      <c r="B56" s="1"/>
    </row>
    <row r="57" spans="1:2" x14ac:dyDescent="0.55000000000000004">
      <c r="A57" s="48"/>
      <c r="B57" s="1"/>
    </row>
    <row r="58" spans="1:2" x14ac:dyDescent="0.55000000000000004">
      <c r="A58" s="48"/>
      <c r="B58" s="1"/>
    </row>
    <row r="59" spans="1:2" x14ac:dyDescent="0.55000000000000004">
      <c r="A59" s="48"/>
      <c r="B59" s="1"/>
    </row>
    <row r="60" spans="1:2" x14ac:dyDescent="0.55000000000000004">
      <c r="A60" s="48"/>
      <c r="B60" s="1"/>
    </row>
    <row r="61" spans="1:2" x14ac:dyDescent="0.55000000000000004">
      <c r="A61" s="48"/>
      <c r="B61" s="1"/>
    </row>
    <row r="62" spans="1:2" x14ac:dyDescent="0.55000000000000004">
      <c r="A62" s="48"/>
      <c r="B62" s="1"/>
    </row>
    <row r="63" spans="1:2" x14ac:dyDescent="0.55000000000000004">
      <c r="A63" s="48"/>
      <c r="B63" s="1"/>
    </row>
    <row r="64" spans="1:2" x14ac:dyDescent="0.55000000000000004">
      <c r="A64" s="48"/>
      <c r="B64" s="1"/>
    </row>
    <row r="65" spans="1:3" x14ac:dyDescent="0.55000000000000004">
      <c r="A65" s="48"/>
      <c r="B65" s="1"/>
    </row>
    <row r="66" spans="1:3" x14ac:dyDescent="0.55000000000000004">
      <c r="A66" s="49"/>
      <c r="B66" s="3"/>
      <c r="C66" s="6"/>
    </row>
    <row r="67" spans="1:3" x14ac:dyDescent="0.55000000000000004">
      <c r="A67" s="50"/>
      <c r="B67" s="2"/>
      <c r="C67" s="7"/>
    </row>
    <row r="68" spans="1:3" x14ac:dyDescent="0.55000000000000004">
      <c r="A68" s="50"/>
      <c r="B68" s="2"/>
      <c r="C68" s="7"/>
    </row>
    <row r="69" spans="1:3" x14ac:dyDescent="0.55000000000000004">
      <c r="A69" s="50"/>
      <c r="B69" s="2"/>
      <c r="C69" s="7"/>
    </row>
    <row r="70" spans="1:3" x14ac:dyDescent="0.55000000000000004">
      <c r="A70" s="50"/>
      <c r="B70" s="2"/>
      <c r="C70" s="7"/>
    </row>
    <row r="71" spans="1:3" x14ac:dyDescent="0.55000000000000004">
      <c r="A71" s="50"/>
      <c r="B71" s="2"/>
      <c r="C71" s="7"/>
    </row>
    <row r="72" spans="1:3" x14ac:dyDescent="0.55000000000000004">
      <c r="A72" s="50"/>
      <c r="B72" s="2"/>
      <c r="C72" s="7"/>
    </row>
    <row r="73" spans="1:3" x14ac:dyDescent="0.55000000000000004">
      <c r="A73" s="50"/>
      <c r="B73" s="2"/>
      <c r="C73" s="7"/>
    </row>
    <row r="74" spans="1:3" x14ac:dyDescent="0.55000000000000004">
      <c r="A74" s="48"/>
      <c r="B74" s="1"/>
    </row>
    <row r="75" spans="1:3" x14ac:dyDescent="0.55000000000000004">
      <c r="A75" s="48"/>
      <c r="B75" s="1"/>
    </row>
    <row r="76" spans="1:3" x14ac:dyDescent="0.55000000000000004">
      <c r="A76" s="48"/>
      <c r="B76" s="1"/>
    </row>
    <row r="77" spans="1:3" x14ac:dyDescent="0.55000000000000004">
      <c r="A77" s="48"/>
      <c r="B77" s="1"/>
    </row>
    <row r="78" spans="1:3" x14ac:dyDescent="0.55000000000000004">
      <c r="A78" s="48"/>
      <c r="B78" s="1"/>
    </row>
    <row r="79" spans="1:3" x14ac:dyDescent="0.55000000000000004">
      <c r="A79" s="48"/>
      <c r="B79" s="1"/>
    </row>
    <row r="80" spans="1:3" x14ac:dyDescent="0.55000000000000004">
      <c r="A80" s="48"/>
      <c r="B80" s="1"/>
    </row>
    <row r="81" spans="1:2" x14ac:dyDescent="0.55000000000000004">
      <c r="A81" s="48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432</v>
      </c>
      <c r="B82" s="1" t="s">
        <v>448</v>
      </c>
    </row>
    <row r="83" spans="1:2" x14ac:dyDescent="0.55000000000000004">
      <c r="A83" s="1" t="s">
        <v>433</v>
      </c>
      <c r="B83" s="1" t="s">
        <v>449</v>
      </c>
    </row>
    <row r="84" spans="1:2" x14ac:dyDescent="0.55000000000000004">
      <c r="A84" s="1" t="s">
        <v>434</v>
      </c>
      <c r="B84" s="1" t="s">
        <v>450</v>
      </c>
    </row>
    <row r="85" spans="1:2" x14ac:dyDescent="0.55000000000000004">
      <c r="A85" s="1" t="s">
        <v>435</v>
      </c>
      <c r="B85" s="1" t="s">
        <v>451</v>
      </c>
    </row>
    <row r="86" spans="1:2" x14ac:dyDescent="0.55000000000000004">
      <c r="A86" s="1" t="s">
        <v>436</v>
      </c>
      <c r="B86" s="1" t="s">
        <v>452</v>
      </c>
    </row>
    <row r="87" spans="1:2" x14ac:dyDescent="0.55000000000000004">
      <c r="A87" s="1" t="s">
        <v>437</v>
      </c>
      <c r="B87" s="1" t="s">
        <v>453</v>
      </c>
    </row>
    <row r="88" spans="1:2" x14ac:dyDescent="0.55000000000000004">
      <c r="A88" s="1" t="s">
        <v>438</v>
      </c>
      <c r="B88" s="1" t="s">
        <v>454</v>
      </c>
    </row>
    <row r="89" spans="1:2" x14ac:dyDescent="0.55000000000000004">
      <c r="A89" s="1" t="s">
        <v>439</v>
      </c>
      <c r="B89" s="1" t="s">
        <v>455</v>
      </c>
    </row>
    <row r="90" spans="1:2" x14ac:dyDescent="0.55000000000000004">
      <c r="A90" s="1" t="s">
        <v>471</v>
      </c>
      <c r="B90" s="1" t="s">
        <v>494</v>
      </c>
    </row>
    <row r="91" spans="1:2" x14ac:dyDescent="0.55000000000000004">
      <c r="A91" s="1" t="s">
        <v>472</v>
      </c>
      <c r="B91" s="1" t="s">
        <v>495</v>
      </c>
    </row>
    <row r="92" spans="1:2" x14ac:dyDescent="0.55000000000000004">
      <c r="A92" s="1" t="s">
        <v>473</v>
      </c>
      <c r="B92" s="1" t="s">
        <v>496</v>
      </c>
    </row>
    <row r="93" spans="1:2" x14ac:dyDescent="0.55000000000000004">
      <c r="A93" s="1" t="s">
        <v>474</v>
      </c>
      <c r="B93" s="1" t="s">
        <v>497</v>
      </c>
    </row>
    <row r="94" spans="1:2" x14ac:dyDescent="0.55000000000000004">
      <c r="A94" s="1" t="s">
        <v>478</v>
      </c>
      <c r="B94" s="1" t="s">
        <v>498</v>
      </c>
    </row>
    <row r="95" spans="1:2" x14ac:dyDescent="0.55000000000000004">
      <c r="A95" s="1" t="s">
        <v>477</v>
      </c>
      <c r="B95" s="1" t="s">
        <v>499</v>
      </c>
    </row>
    <row r="96" spans="1:2" x14ac:dyDescent="0.55000000000000004">
      <c r="A96" s="1" t="s">
        <v>476</v>
      </c>
      <c r="B96" s="1" t="s">
        <v>500</v>
      </c>
    </row>
    <row r="97" spans="1:2" x14ac:dyDescent="0.55000000000000004">
      <c r="A97" s="1" t="s">
        <v>475</v>
      </c>
      <c r="B97" s="1" t="s">
        <v>501</v>
      </c>
    </row>
  </sheetData>
  <sheetProtection algorithmName="SHA-512" hashValue="4noVIvfCdBKH1096rksLWQtU4iszZZ1+L5m6l6scaUxSC7w8ydp8LSroHL29JlyypyfgFOksBpGqfh19PgDiCw==" saltValue="47QrmEfHOmzei99igcl2B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448</v>
      </c>
      <c r="B82" s="1" t="s">
        <v>432</v>
      </c>
      <c r="C82" s="1" t="s">
        <v>440</v>
      </c>
      <c r="D82" s="2" t="s">
        <v>456</v>
      </c>
      <c r="E82" s="1" t="s">
        <v>461</v>
      </c>
      <c r="F82" s="1">
        <v>1</v>
      </c>
    </row>
    <row r="83" spans="1:6" x14ac:dyDescent="0.55000000000000004">
      <c r="A83" s="1" t="s">
        <v>449</v>
      </c>
      <c r="B83" s="1" t="s">
        <v>433</v>
      </c>
      <c r="C83" s="1" t="s">
        <v>441</v>
      </c>
      <c r="D83" s="2" t="s">
        <v>457</v>
      </c>
      <c r="E83" s="1" t="s">
        <v>461</v>
      </c>
      <c r="F83" s="1">
        <v>2</v>
      </c>
    </row>
    <row r="84" spans="1:6" x14ac:dyDescent="0.55000000000000004">
      <c r="A84" s="1" t="s">
        <v>450</v>
      </c>
      <c r="B84" s="1" t="s">
        <v>434</v>
      </c>
      <c r="C84" s="1" t="s">
        <v>442</v>
      </c>
      <c r="D84" s="2" t="s">
        <v>458</v>
      </c>
      <c r="E84" s="1" t="s">
        <v>461</v>
      </c>
      <c r="F84" s="1">
        <v>3</v>
      </c>
    </row>
    <row r="85" spans="1:6" x14ac:dyDescent="0.55000000000000004">
      <c r="A85" s="1" t="s">
        <v>451</v>
      </c>
      <c r="B85" s="1" t="s">
        <v>435</v>
      </c>
      <c r="C85" s="1" t="s">
        <v>443</v>
      </c>
      <c r="D85" s="2" t="s">
        <v>459</v>
      </c>
      <c r="E85" s="1" t="s">
        <v>461</v>
      </c>
      <c r="F85" s="1">
        <v>4</v>
      </c>
    </row>
    <row r="86" spans="1:6" x14ac:dyDescent="0.55000000000000004">
      <c r="A86" s="1" t="s">
        <v>452</v>
      </c>
      <c r="B86" s="1" t="s">
        <v>436</v>
      </c>
      <c r="C86" s="1" t="s">
        <v>444</v>
      </c>
      <c r="D86" s="2" t="s">
        <v>456</v>
      </c>
      <c r="E86" s="1" t="s">
        <v>467</v>
      </c>
      <c r="F86" s="1">
        <v>1</v>
      </c>
    </row>
    <row r="87" spans="1:6" x14ac:dyDescent="0.55000000000000004">
      <c r="A87" s="1" t="s">
        <v>453</v>
      </c>
      <c r="B87" s="1" t="s">
        <v>437</v>
      </c>
      <c r="C87" s="1" t="s">
        <v>445</v>
      </c>
      <c r="D87" s="2" t="s">
        <v>460</v>
      </c>
      <c r="E87" s="1" t="s">
        <v>467</v>
      </c>
      <c r="F87" s="1">
        <v>2</v>
      </c>
    </row>
    <row r="88" spans="1:6" x14ac:dyDescent="0.55000000000000004">
      <c r="A88" s="1" t="s">
        <v>454</v>
      </c>
      <c r="B88" s="1" t="s">
        <v>438</v>
      </c>
      <c r="C88" s="1" t="s">
        <v>446</v>
      </c>
      <c r="D88" s="2" t="s">
        <v>458</v>
      </c>
      <c r="E88" s="1" t="s">
        <v>467</v>
      </c>
      <c r="F88" s="1">
        <v>3</v>
      </c>
    </row>
    <row r="89" spans="1:6" x14ac:dyDescent="0.55000000000000004">
      <c r="A89" s="1" t="s">
        <v>455</v>
      </c>
      <c r="B89" s="1" t="s">
        <v>439</v>
      </c>
      <c r="C89" s="1" t="s">
        <v>447</v>
      </c>
      <c r="D89" s="2" t="s">
        <v>456</v>
      </c>
      <c r="E89" s="1" t="s">
        <v>467</v>
      </c>
      <c r="F89" s="1">
        <v>4</v>
      </c>
    </row>
    <row r="90" spans="1:6" x14ac:dyDescent="0.55000000000000004">
      <c r="A90" s="1" t="s">
        <v>494</v>
      </c>
      <c r="B90" s="1" t="s">
        <v>471</v>
      </c>
      <c r="C90" s="1" t="s">
        <v>479</v>
      </c>
      <c r="D90" s="2" t="s">
        <v>487</v>
      </c>
      <c r="E90" s="1" t="s">
        <v>492</v>
      </c>
      <c r="F90" s="1">
        <v>1</v>
      </c>
    </row>
    <row r="91" spans="1:6" x14ac:dyDescent="0.55000000000000004">
      <c r="A91" s="1" t="s">
        <v>495</v>
      </c>
      <c r="B91" s="1" t="s">
        <v>472</v>
      </c>
      <c r="C91" s="1" t="s">
        <v>480</v>
      </c>
      <c r="D91" s="2" t="s">
        <v>488</v>
      </c>
      <c r="E91" s="1" t="s">
        <v>492</v>
      </c>
      <c r="F91" s="1">
        <v>2</v>
      </c>
    </row>
    <row r="92" spans="1:6" x14ac:dyDescent="0.55000000000000004">
      <c r="A92" s="1" t="s">
        <v>496</v>
      </c>
      <c r="B92" s="1" t="s">
        <v>473</v>
      </c>
      <c r="C92" s="1" t="s">
        <v>481</v>
      </c>
      <c r="D92" s="2" t="s">
        <v>489</v>
      </c>
      <c r="E92" s="1" t="s">
        <v>492</v>
      </c>
      <c r="F92" s="1">
        <v>3</v>
      </c>
    </row>
    <row r="93" spans="1:6" x14ac:dyDescent="0.55000000000000004">
      <c r="A93" s="1" t="s">
        <v>497</v>
      </c>
      <c r="B93" s="1" t="s">
        <v>474</v>
      </c>
      <c r="C93" s="1" t="s">
        <v>482</v>
      </c>
      <c r="D93" s="2" t="s">
        <v>487</v>
      </c>
      <c r="E93" s="1" t="s">
        <v>492</v>
      </c>
      <c r="F93" s="1">
        <v>4</v>
      </c>
    </row>
    <row r="94" spans="1:6" x14ac:dyDescent="0.55000000000000004">
      <c r="A94" s="1" t="s">
        <v>498</v>
      </c>
      <c r="B94" s="1" t="s">
        <v>478</v>
      </c>
      <c r="C94" s="1" t="s">
        <v>483</v>
      </c>
      <c r="D94" s="2" t="s">
        <v>487</v>
      </c>
      <c r="E94" s="1" t="s">
        <v>493</v>
      </c>
      <c r="F94" s="1">
        <v>1</v>
      </c>
    </row>
    <row r="95" spans="1:6" x14ac:dyDescent="0.55000000000000004">
      <c r="A95" s="1" t="s">
        <v>499</v>
      </c>
      <c r="B95" s="1" t="s">
        <v>477</v>
      </c>
      <c r="C95" s="1" t="s">
        <v>484</v>
      </c>
      <c r="D95" s="2" t="s">
        <v>490</v>
      </c>
      <c r="E95" s="1" t="s">
        <v>493</v>
      </c>
      <c r="F95" s="1">
        <v>2</v>
      </c>
    </row>
    <row r="96" spans="1:6" x14ac:dyDescent="0.55000000000000004">
      <c r="A96" s="1" t="s">
        <v>500</v>
      </c>
      <c r="B96" s="1" t="s">
        <v>476</v>
      </c>
      <c r="C96" s="1" t="s">
        <v>485</v>
      </c>
      <c r="D96" s="2" t="s">
        <v>491</v>
      </c>
      <c r="E96" s="1" t="s">
        <v>493</v>
      </c>
      <c r="F96" s="1">
        <v>3</v>
      </c>
    </row>
    <row r="97" spans="1:6" x14ac:dyDescent="0.55000000000000004">
      <c r="A97" s="1" t="s">
        <v>501</v>
      </c>
      <c r="B97" s="1" t="s">
        <v>475</v>
      </c>
      <c r="C97" s="1" t="s">
        <v>486</v>
      </c>
      <c r="D97" s="2" t="s">
        <v>489</v>
      </c>
      <c r="E97" s="1" t="s">
        <v>493</v>
      </c>
      <c r="F97" s="1">
        <v>4</v>
      </c>
    </row>
  </sheetData>
  <sheetProtection algorithmName="SHA-512" hashValue="5c4N31f7rD9twNtUJIbKG9rehBMriHuOvyNPokSmg1A6GC+Yp1YTpo0WgbERjhcnwoOc7gDt3Z6erScIDA1jMg==" saltValue="wxkzrTzRMQbnFT4OAaRcu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461</v>
      </c>
      <c r="B22" s="1" t="s">
        <v>462</v>
      </c>
      <c r="C22" s="1" t="s">
        <v>463</v>
      </c>
      <c r="D22" s="1">
        <v>21</v>
      </c>
      <c r="E22" s="1" t="s">
        <v>464</v>
      </c>
    </row>
    <row r="23" spans="1:5" x14ac:dyDescent="0.55000000000000004">
      <c r="A23" s="1" t="s">
        <v>467</v>
      </c>
      <c r="B23" s="1" t="s">
        <v>466</v>
      </c>
      <c r="C23" s="1" t="s">
        <v>465</v>
      </c>
      <c r="D23" s="1">
        <v>22</v>
      </c>
      <c r="E23" s="1" t="s">
        <v>464</v>
      </c>
    </row>
    <row r="24" spans="1:5" x14ac:dyDescent="0.55000000000000004">
      <c r="A24" s="1" t="s">
        <v>502</v>
      </c>
      <c r="B24" s="1" t="s">
        <v>504</v>
      </c>
      <c r="C24" s="1" t="s">
        <v>506</v>
      </c>
      <c r="D24" s="1">
        <v>23</v>
      </c>
      <c r="E24" s="1" t="s">
        <v>508</v>
      </c>
    </row>
    <row r="25" spans="1:5" x14ac:dyDescent="0.55000000000000004">
      <c r="A25" s="1" t="s">
        <v>503</v>
      </c>
      <c r="B25" s="1" t="s">
        <v>505</v>
      </c>
      <c r="C25" s="1" t="s">
        <v>507</v>
      </c>
      <c r="D25" s="1">
        <v>24</v>
      </c>
      <c r="E25" s="1" t="s">
        <v>508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2023-11-02T15:50:56Z</dcterms:modified>
</cp:coreProperties>
</file>