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19F6838C-0FE1-4B03-A06A-3FD17E796CD1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0" yWindow="10" windowWidth="94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15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1" l="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<sst xmlns="http://schemas.openxmlformats.org/spreadsheetml/2006/main" count="880" uniqueCount="473">
  <si>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</si>
  <si>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</si>
  <si>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</si>
  <si>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</si>
  <si>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</si>
  <si>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</si>
  <si>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</si>
  <si>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</si>
  <si>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</si>
  <si>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</si>
  <si>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</si>
  <si>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</si>
  <si>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</si>
  <si>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</si>
  <si>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</si>
  <si>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</si>
  <si>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</si>
  <si>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</si>
  <si>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</si>
  <si>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</si>
  <si>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</si>
  <si>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</si>
  <si>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</si>
  <si>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</si>
  <si>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</si>
  <si>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</si>
  <si>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</si>
  <si>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</si>
  <si>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</si>
  <si>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</si>
  <si>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</si>
  <si>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</si>
  <si>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</si>
  <si>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</si>
  <si>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</si>
  <si>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</si>
  <si>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</si>
  <si>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</si>
  <si>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</si>
  <si>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</si>
  <si>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</si>
  <si>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</si>
  <si>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</si>
  <si>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</si>
  <si>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</si>
  <si>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</si>
  <si>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</si>
  <si>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</si>
  <si>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</si>
  <si>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</si>
  <si>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</si>
  <si>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</si>
  <si>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</si>
  <si>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</si>
  <si>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</si>
  <si>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</si>
  <si>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</si>
  <si>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</si>
  <si>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</si>
  <si>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</si>
  <si>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</si>
  <si>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</si>
  <si>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</si>
  <si>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</si>
  <si>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</si>
  <si>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</si>
  <si>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</si>
  <si>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</si>
  <si>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</si>
  <si>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</si>
  <si>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</si>
  <si>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</si>
  <si>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</si>
  <si>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</si>
  <si>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</si>
  <si>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</si>
  <si>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</si>
  <si>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</si>
  <si>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</si>
  <si>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</si>
  <si>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</si>
  <si>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</si>
  <si>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</si>
  <si>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</si>
  <si>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</si>
  <si>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</si>
  <si>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</si>
  <si>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</si>
  <si>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</si>
  <si>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</si>
  <si>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</si>
  <si>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</si>
  <si>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</si>
  <si>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</si>
  <si>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</si>
  <si>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</si>
  <si>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</si>
  <si>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</si>
  <si>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</si>
  <si>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</si>
  <si>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</si>
  <si>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</si>
  <si>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</si>
  <si>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</si>
  <si>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</si>
  <si>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</si>
  <si>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</si>
  <si>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</si>
  <si>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</si>
  <si>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</si>
  <si>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</si>
  <si>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</si>
  <si>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</si>
  <si>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</si>
  <si>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</si>
  <si>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</si>
  <si>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</si>
  <si>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</si>
  <si>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</si>
  <si>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</si>
  <si>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</si>
  <si>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</si>
  <si>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</si>
  <si>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</si>
  <si>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</si>
  <si>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</si>
  <si>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</si>
  <si>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</si>
  <si>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</si>
  <si>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</si>
  <si>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</si>
  <si>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</si>
  <si>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</si>
  <si>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</si>
  <si>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</si>
  <si>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</si>
  <si>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</si>
  <si>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</si>
  <si>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</si>
  <si>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</si>
  <si>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</si>
  <si>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</si>
  <si>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</si>
  <si>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</si>
  <si>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</si>
  <si>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</si>
  <si>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</si>
  <si>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</si>
  <si>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</si>
  <si>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</si>
  <si>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</si>
  <si>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</si>
  <si>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</si>
  <si>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</si>
  <si>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</si>
  <si>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</si>
  <si>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</si>
  <si>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</si>
  <si>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</si>
  <si>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</si>
  <si>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</si>
  <si>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</si>
  <si>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</si>
  <si>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</si>
  <si>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</si>
  <si>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</si>
  <si>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</si>
  <si>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</si>
  <si>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</si>
  <si>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</si>
  <si>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</si>
  <si>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</si>
  <si>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</si>
  <si>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</si>
  <si>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</si>
  <si>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</si>
  <si>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</si>
  <si>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</si>
  <si>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</si>
  <si>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</si>
  <si>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</si>
  <si>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</si>
  <si>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</si>
  <si>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</si>
  <si>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</si>
  <si>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</si>
  <si>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</si>
  <si>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</si>
  <si>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</si>
  <si>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</si>
  <si>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</si>
  <si>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</si>
  <si>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</si>
  <si>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</si>
  <si>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</si>
  <si>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</si>
  <si>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</si>
  <si>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</si>
  <si>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</si>
  <si>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</si>
  <si>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</si>
  <si>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</si>
  <si>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</si>
  <si>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</si>
  <si>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</si>
  <si>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</si>
  <si>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</si>
  <si>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</si>
  <si>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</si>
  <si>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</si>
  <si>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</si>
  <si>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</si>
  <si>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</si>
  <si>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</si>
  <si>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</si>
  <si>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</si>
  <si>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</si>
  <si>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</si>
  <si>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</si>
  <si>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</si>
  <si>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</si>
  <si>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</si>
  <si>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</si>
  <si>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</si>
  <si>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</si>
  <si>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</si>
  <si>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</si>
  <si>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</si>
  <si>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</si>
  <si>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</si>
  <si>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</si>
  <si>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</si>
  <si>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</si>
  <si>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</si>
  <si>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</si>
  <si>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</si>
  <si>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</si>
  <si>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</si>
  <si>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</si>
  <si>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</si>
  <si>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</si>
  <si>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</si>
  <si>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</si>
  <si>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</si>
  <si>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</si>
  <si>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</si>
  <si>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</si>
  <si>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</si>
  <si>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</si>
  <si>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</si>
  <si>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</si>
  <si>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</si>
  <si>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</si>
  <si>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</si>
  <si>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</si>
  <si>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</si>
  <si>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</si>
  <si>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</si>
  <si>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</si>
  <si>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</si>
  <si>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</si>
  <si>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</si>
  <si>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</si>
  <si>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</si>
  <si>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</si>
  <si>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</si>
  <si>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</si>
  <si>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</si>
  <si>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</si>
  <si>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</si>
  <si>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</si>
  <si>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</si>
  <si>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</si>
  <si>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</si>
  <si>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</si>
  <si>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</si>
  <si>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</si>
  <si>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</si>
  <si>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</si>
  <si>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</si>
  <si>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</si>
  <si>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</si>
  <si>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</si>
  <si>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</si>
  <si>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</si>
  <si>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</si>
  <si>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</si>
  <si>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</si>
  <si>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</si>
  <si>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</si>
  <si>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</si>
  <si>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</si>
  <si>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</si>
  <si>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</si>
  <si>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</si>
  <si>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</si>
  <si>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</si>
  <si>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</si>
  <si>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</si>
  <si>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</si>
  <si>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</si>
  <si>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</si>
  <si>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</si>
  <si>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</si>
  <si>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</si>
  <si>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</si>
  <si>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</si>
  <si>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</si>
  <si>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</si>
  <si>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</si>
  <si>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</si>
  <si>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</si>
  <si>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</si>
  <si>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</si>
  <si>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</si>
  <si>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</si>
  <si>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</si>
  <si>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</si>
  <si>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</si>
  <si>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</si>
  <si>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</si>
  <si>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</si>
  <si>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</si>
  <si>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</si>
  <si>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</si>
  <si>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</si>
  <si>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</si>
  <si>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</si>
  <si>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</si>
  <si>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</si>
  <si>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</si>
  <si>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</si>
  <si>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</si>
  <si>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</si>
  <si>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</si>
  <si>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</si>
  <si>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</si>
  <si>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</si>
  <si>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</si>
  <si>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</si>
  <si>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</si>
  <si>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</si>
  <si>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</si>
  <si>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</si>
  <si>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</si>
  <si>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</si>
  <si>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</si>
  <si>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</si>
  <si>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</si>
  <si>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</si>
  <si>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</si>
  <si>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</si>
  <si>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</si>
  <si>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</si>
  <si>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</si>
  <si>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</si>
  <si>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</si>
  <si>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</si>
  <si>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</si>
  <si>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</si>
  <si>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</si>
  <si>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</si>
  <si>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</si>
  <si>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</si>
  <si>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</si>
  <si>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</si>
  <si>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</si>
  <si>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</si>
  <si>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</si>
  <si>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</si>
  <si>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</si>
  <si>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</si>
  <si>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</si>
  <si>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</si>
  <si>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</si>
  <si>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</si>
  <si>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</si>
  <si>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</si>
  <si>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</si>
  <si>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</si>
  <si>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</si>
  <si>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</si>
  <si>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</si>
  <si>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</si>
  <si>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</si>
  <si>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</si>
  <si>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</si>
  <si>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</si>
  <si>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</si>
  <si>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</si>
  <si>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</si>
  <si>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</si>
  <si>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</si>
  <si>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</si>
  <si>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</si>
  <si>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</si>
  <si>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</si>
  <si>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</si>
  <si>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</si>
  <si>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</si>
  <si>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</si>
  <si>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</si>
  <si>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</si>
  <si>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</si>
  <si>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</si>
  <si>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</si>
  <si>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</si>
  <si>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</si>
  <si>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</si>
  <si>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</si>
  <si>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</si>
  <si>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</si>
  <si>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</si>
  <si>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</si>
  <si>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</si>
  <si>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</si>
  <si>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</si>
  <si>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</si>
  <si>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</si>
  <si>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</si>
  <si>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</si>
  <si>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</si>
  <si>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</si>
  <si>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</si>
  <si>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</si>
  <si>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</si>
  <si>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</si>
  <si>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</si>
  <si>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</si>
  <si>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</si>
  <si>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</si>
  <si>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</si>
  <si>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</si>
  <si>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</si>
  <si>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</si>
  <si>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</si>
  <si>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</si>
  <si>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</si>
  <si>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</si>
  <si>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</si>
  <si>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</si>
  <si>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</si>
  <si>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</si>
  <si>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</si>
  <si>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</si>
  <si>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</si>
  <si>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</si>
  <si>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</si>
  <si>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</si>
  <si>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</si>
  <si>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</si>
  <si>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</si>
  <si>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</si>
  <si>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</si>
  <si>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</si>
  <si>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</si>
  <si>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</si>
  <si>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</si>
  <si>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</si>
  <si>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</si>
  <si>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</si>
  <si>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</si>
  <si>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</si>
  <si>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</si>
  <si>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</si>
  <si>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</si>
  <si>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</si>
  <si>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</si>
  <si>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</si>
  <si>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</si>
  <si>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未選択</t>
    <phoneticPr fontId="1"/>
  </si>
  <si>
    <t>コースを選択</t>
    <phoneticPr fontId="1"/>
  </si>
  <si>
    <t>pts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</si>
</sst>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right" vertical="center" shrinkToFit="1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 shrinkToFit="1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  <xf numFmtId="178" fontId="0" fillId="0" borderId="0" xfId="0" applyNumberFormat="1" applyFill="1">
      <alignment vertical="center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6" xfId="0" applyFont="1" applyFill="1" applyBorder="1" applyAlignment="1" applyProtection="1">
      <alignment horizontal="center" vertical="center" shrinkToFit="1"/>
      <protection locked="0"/>
    </xf>
  </cellXfs>
  <cellStyles count="1">
    <cellStyle name="標準" xfId="0" builtinId="0"/>
  </cellStyles>
  <dxfs count="21">
    <dxf>
      <numFmt numFmtId="19" formatCode="yyyy/m/d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1</xdr:row>
          <xdr:rowOff>95250</xdr:rowOff>
        </xdr:from>
        <xdr:to>
          <xdr:col>4</xdr:col>
          <xdr:colOff>374650</xdr:colOff>
          <xdr:row>2</xdr:row>
          <xdr:rowOff>190500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387350</xdr:colOff>
          <xdr:row>1</xdr:row>
          <xdr:rowOff>95250</xdr:rowOff>
        </xdr:from>
        <xdr:to>
          <xdr:col>4</xdr:col>
          <xdr:colOff>1377950</xdr:colOff>
          <xdr:row>2</xdr:row>
          <xdr:rowOff>190500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17</xdr:row>
          <xdr:rowOff>139700</xdr:rowOff>
        </xdr:from>
        <xdr:to>
          <xdr:col>4</xdr:col>
          <xdr:colOff>901700</xdr:colOff>
          <xdr:row>19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1460500</xdr:colOff>
          <xdr:row>17</xdr:row>
          <xdr:rowOff>139700</xdr:rowOff>
        </xdr:from>
        <xdr:to>
          <xdr:col>3</xdr:col>
          <xdr:colOff>0</xdr:colOff>
          <xdr:row>19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233.012026157405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5">
        <m/>
        <s v="tier-CD" u="1"/>
        <s v="others" u="1"/>
        <s v="tier-D" u="1"/>
        <s v="未選択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0">
        <m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ウォーターパーク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マリオカートスタジアム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15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6">
        <item m="1" x="2"/>
        <item m="1" x="3"/>
        <item x="0"/>
        <item m="1" x="1"/>
        <item m="1" x="4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1">
        <item m="1" x="20"/>
        <item m="1" x="7"/>
        <item m="1" x="35"/>
        <item m="1" x="15"/>
        <item m="1" x="22"/>
        <item m="1" x="11"/>
        <item m="1" x="44"/>
        <item m="1" x="36"/>
        <item m="1" x="5"/>
        <item m="1" x="43"/>
        <item m="1" x="21"/>
        <item m="1" x="40"/>
        <item m="1" x="38"/>
        <item m="1" x="37"/>
        <item m="1" x="10"/>
        <item m="1" x="1"/>
        <item m="1" x="31"/>
        <item m="1" x="8"/>
        <item m="1" x="30"/>
        <item m="1" x="2"/>
        <item m="1" x="34"/>
        <item m="1" x="39"/>
        <item m="1" x="48"/>
        <item m="1" x="18"/>
        <item m="1" x="49"/>
        <item m="1" x="42"/>
        <item m="1" x="26"/>
        <item m="1" x="46"/>
        <item m="1" x="29"/>
        <item m="1" x="16"/>
        <item x="0"/>
        <item m="1" x="4"/>
        <item m="1" x="19"/>
        <item m="1" x="32"/>
        <item m="1" x="25"/>
        <item m="1" x="17"/>
        <item m="1" x="41"/>
        <item m="1" x="3"/>
        <item m="1" x="24"/>
        <item m="1" x="13"/>
        <item m="1" x="27"/>
        <item m="1" x="6"/>
        <item m="1" x="14"/>
        <item m="1" x="47"/>
        <item m="1" x="33"/>
        <item m="1" x="12"/>
        <item m="1" x="23"/>
        <item m="1" x="9"/>
        <item m="1" x="28"/>
        <item m="1" x="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4">
        <item m="1" x="5"/>
        <item m="1" x="2"/>
        <item m="1" x="11"/>
        <item m="1" x="1"/>
        <item m="1" x="3"/>
        <item m="1" x="7"/>
        <item m="1" x="9"/>
        <item m="1" x="10"/>
        <item m="1" x="12"/>
        <item m="1" x="6"/>
        <item m="1" x="4"/>
        <item m="1" x="8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1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17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10" customWidth="1"/>
    <col min="2" max="2" width="29.08203125" style="14" customWidth="1"/>
    <col min="3" max="3" width="10.08203125" style="10" customWidth="1"/>
    <col min="4" max="4" width="8.5" style="10" customWidth="1"/>
    <col min="5" max="5" width="18.5" style="10" customWidth="1"/>
    <col min="6" max="6" width="8.6640625" style="9" hidden="1" customWidth="1"/>
    <col min="7" max="16384" width="8.6640625" style="10"/>
  </cols>
  <sheetData>
    <row r="1" spans="1:6" ht="22.5" x14ac:dyDescent="0.55000000000000004">
      <c r="A1" s="53" t="s">
        <v>416</v>
      </c>
      <c r="B1" s="53"/>
      <c r="C1" s="53"/>
      <c r="D1" s="53"/>
      <c r="E1" s="53"/>
    </row>
    <row r="2" spans="1:6" ht="22.5" x14ac:dyDescent="0.55000000000000004">
      <c r="A2" s="22" t="s">
        <v>395</v>
      </c>
      <c r="B2" s="23" t="s">
        <v>405</v>
      </c>
      <c r="C2" s="29" t="s">
        <v>470</v>
      </c>
      <c r="D2" s="62"/>
      <c r="E2" s="60"/>
    </row>
    <row r="3" spans="1:6" ht="22.5" x14ac:dyDescent="0.55000000000000004">
      <c r="A3" s="24"/>
      <c r="B3" s="25" t="s">
        <v>406</v>
      </c>
      <c r="C3" s="30" t="s">
        <v>470</v>
      </c>
      <c r="D3" s="63"/>
      <c r="E3" s="61"/>
    </row>
    <row r="4" spans="1:6" s="12" customFormat="1" ht="27.5" customHeight="1" x14ac:dyDescent="0.55000000000000004">
      <c r="A4" s="26"/>
      <c r="B4" s="27" t="s">
        <v>407</v>
      </c>
      <c r="C4" s="55" t="s">
        <v>469</v>
      </c>
      <c r="D4" s="55" t="s">
        <v>468</v>
      </c>
      <c r="E4" s="28" t="s">
        <v>428</v>
      </c>
      <c r="F4" s="11"/>
    </row>
    <row r="5" spans="1:6" ht="20" customHeight="1" x14ac:dyDescent="0.55000000000000004">
      <c r="A5" s="13">
        <v>1</v>
      </c>
      <c r="B5" s="31" t="s">
        <v>471</v>
      </c>
      <c r="C5" s="32"/>
      <c r="D5" s="33"/>
      <c r="E5" s="33"/>
      <c r="F5" s="9">
        <f>IF(D5="",0,IF(D5=1,15,IF(D5=2,12,13-D5)))</f>
        <v>0</v>
      </c>
    </row>
    <row r="6" spans="1:6" ht="20" customHeight="1" x14ac:dyDescent="0.55000000000000004">
      <c r="A6" s="15">
        <v>2</v>
      </c>
      <c r="B6" s="34" t="s">
        <v>471</v>
      </c>
      <c r="C6" s="35"/>
      <c r="D6" s="35"/>
      <c r="E6" s="35"/>
      <c r="F6" s="9">
        <f t="shared" ref="F6:F16" si="0">IF(D6="",0,IF(D6=1,15,IF(D6=2,12,13-D6)))</f>
        <v>0</v>
      </c>
    </row>
    <row r="7" spans="1:6" ht="20" customHeight="1" x14ac:dyDescent="0.55000000000000004">
      <c r="A7" s="16">
        <v>3</v>
      </c>
      <c r="B7" s="31" t="s">
        <v>471</v>
      </c>
      <c r="C7" s="33"/>
      <c r="D7" s="33"/>
      <c r="E7" s="33"/>
      <c r="F7" s="9">
        <f t="shared" si="0"/>
        <v>0</v>
      </c>
    </row>
    <row r="8" spans="1:6" ht="20" customHeight="1" x14ac:dyDescent="0.55000000000000004">
      <c r="A8" s="15">
        <v>4</v>
      </c>
      <c r="B8" s="34" t="s">
        <v>471</v>
      </c>
      <c r="C8" s="35"/>
      <c r="D8" s="35"/>
      <c r="E8" s="35"/>
      <c r="F8" s="9">
        <f t="shared" si="0"/>
        <v>0</v>
      </c>
    </row>
    <row r="9" spans="1:6" ht="20" customHeight="1" x14ac:dyDescent="0.55000000000000004">
      <c r="A9" s="16">
        <v>5</v>
      </c>
      <c r="B9" s="31" t="s">
        <v>471</v>
      </c>
      <c r="C9" s="33"/>
      <c r="D9" s="33"/>
      <c r="E9" s="33"/>
      <c r="F9" s="9">
        <f t="shared" si="0"/>
        <v>0</v>
      </c>
    </row>
    <row r="10" spans="1:6" ht="20" customHeight="1" x14ac:dyDescent="0.55000000000000004">
      <c r="A10" s="15">
        <v>6</v>
      </c>
      <c r="B10" s="34" t="s">
        <v>471</v>
      </c>
      <c r="C10" s="35"/>
      <c r="D10" s="35"/>
      <c r="E10" s="35"/>
      <c r="F10" s="9">
        <f t="shared" si="0"/>
        <v>0</v>
      </c>
    </row>
    <row r="11" spans="1:6" ht="20" customHeight="1" x14ac:dyDescent="0.55000000000000004">
      <c r="A11" s="16">
        <v>7</v>
      </c>
      <c r="B11" s="31" t="s">
        <v>471</v>
      </c>
      <c r="C11" s="33"/>
      <c r="D11" s="33"/>
      <c r="E11" s="33"/>
      <c r="F11" s="9">
        <f t="shared" si="0"/>
        <v>0</v>
      </c>
    </row>
    <row r="12" spans="1:6" ht="20" customHeight="1" x14ac:dyDescent="0.55000000000000004">
      <c r="A12" s="15">
        <v>8</v>
      </c>
      <c r="B12" s="34" t="s">
        <v>471</v>
      </c>
      <c r="C12" s="35"/>
      <c r="D12" s="35"/>
      <c r="E12" s="35"/>
      <c r="F12" s="9">
        <f t="shared" si="0"/>
        <v>0</v>
      </c>
    </row>
    <row r="13" spans="1:6" ht="20" customHeight="1" x14ac:dyDescent="0.55000000000000004">
      <c r="A13" s="16">
        <v>9</v>
      </c>
      <c r="B13" s="31" t="s">
        <v>471</v>
      </c>
      <c r="C13" s="33"/>
      <c r="D13" s="33"/>
      <c r="E13" s="33"/>
      <c r="F13" s="9">
        <f t="shared" si="0"/>
        <v>0</v>
      </c>
    </row>
    <row r="14" spans="1:6" ht="20" customHeight="1" x14ac:dyDescent="0.55000000000000004">
      <c r="A14" s="15">
        <v>10</v>
      </c>
      <c r="B14" s="34" t="s">
        <v>471</v>
      </c>
      <c r="C14" s="35"/>
      <c r="D14" s="35"/>
      <c r="E14" s="35"/>
      <c r="F14" s="9">
        <f t="shared" si="0"/>
        <v>0</v>
      </c>
    </row>
    <row r="15" spans="1:6" ht="20" customHeight="1" x14ac:dyDescent="0.55000000000000004">
      <c r="A15" s="16">
        <v>11</v>
      </c>
      <c r="B15" s="31" t="s">
        <v>471</v>
      </c>
      <c r="C15" s="33"/>
      <c r="D15" s="33"/>
      <c r="E15" s="33"/>
      <c r="F15" s="9">
        <f t="shared" si="0"/>
        <v>0</v>
      </c>
    </row>
    <row r="16" spans="1:6" ht="20" customHeight="1" x14ac:dyDescent="0.55000000000000004">
      <c r="A16" s="17">
        <v>12</v>
      </c>
      <c r="B16" s="36" t="s">
        <v>471</v>
      </c>
      <c r="C16" s="37"/>
      <c r="D16" s="37"/>
      <c r="E16" s="37"/>
      <c r="F16" s="9">
        <f t="shared" si="0"/>
        <v>0</v>
      </c>
    </row>
    <row r="17" spans="1:5" ht="20" customHeight="1" x14ac:dyDescent="0.55000000000000004">
      <c r="A17" s="18"/>
      <c r="B17" s="19" t="s">
        <v>394</v>
      </c>
      <c r="C17" s="20">
        <f>SUM(F5:F16)</f>
        <v>0</v>
      </c>
      <c r="D17" s="20" t="s">
        <v>472</v>
      </c>
      <c r="E17" s="21"/>
    </row>
  </sheetData>
  <sheetProtection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autoPict="0" r:id="rId5">
            <anchor moveWithCells="1">
              <from>
                <xdr:col>3</xdr:col>
                <xdr:colOff>31750</xdr:colOff>
                <xdr:row>1</xdr:row>
                <xdr:rowOff>95250</xdr:rowOff>
              </from>
              <to>
                <xdr:col>4</xdr:col>
                <xdr:colOff>374650</xdr:colOff>
                <xdr:row>2</xdr:row>
                <xdr:rowOff>190500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autoPict="0" r:id="rId7">
            <anchor moveWithCells="1">
              <from>
                <xdr:col>4</xdr:col>
                <xdr:colOff>387350</xdr:colOff>
                <xdr:row>1</xdr:row>
                <xdr:rowOff>95250</xdr:rowOff>
              </from>
              <to>
                <xdr:col>4</xdr:col>
                <xdr:colOff>1377950</xdr:colOff>
                <xdr:row>2</xdr:row>
                <xdr:rowOff>190500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3</xdr:col>
                <xdr:colOff>25400</xdr:colOff>
                <xdr:row>17</xdr:row>
                <xdr:rowOff>139700</xdr:rowOff>
              </from>
              <to>
                <xdr:col>4</xdr:col>
                <xdr:colOff>901700</xdr:colOff>
                <xdr:row>19</xdr:row>
                <xdr:rowOff>38100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1460500</xdr:colOff>
                <xdr:row>17</xdr:row>
                <xdr:rowOff>139700</xdr:rowOff>
              </from>
              <to>
                <xdr:col>3</xdr:col>
                <xdr:colOff>0</xdr:colOff>
                <xdr:row>19</xdr:row>
                <xdr:rowOff>31750</xdr:rowOff>
              </to>
            </anchor>
          </controlPr>
        </control>
      </mc:Choice>
      <mc:Fallback>
        <control shapeId="4105" r:id="rId10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42" bestFit="1" customWidth="1"/>
    <col min="2" max="2" width="11.25" style="43" bestFit="1" customWidth="1"/>
    <col min="3" max="3" width="9.75" style="43" bestFit="1" customWidth="1"/>
    <col min="4" max="4" width="12.5" style="44" bestFit="1" customWidth="1"/>
    <col min="5" max="5" width="19.6640625" style="42" bestFit="1" customWidth="1"/>
    <col min="6" max="7" width="5.58203125" style="42" bestFit="1" customWidth="1"/>
    <col min="8" max="9" width="6.6640625" style="42" bestFit="1" customWidth="1"/>
    <col min="10" max="10" width="6.5" style="42" bestFit="1" customWidth="1"/>
    <col min="11" max="13" width="5.58203125" style="42" bestFit="1" customWidth="1"/>
    <col min="14" max="14" width="6.1640625" style="42" bestFit="1" customWidth="1"/>
    <col min="15" max="15" width="17.1640625" style="42" bestFit="1" customWidth="1"/>
    <col min="16" max="16" width="17.25" style="42" bestFit="1" customWidth="1"/>
    <col min="17" max="17" width="17.1640625" style="42" bestFit="1" customWidth="1"/>
    <col min="18" max="18" width="17.25" style="42" bestFit="1" customWidth="1"/>
    <col min="19" max="19" width="17.1640625" style="42" bestFit="1" customWidth="1"/>
    <col min="20" max="20" width="17.25" style="42" bestFit="1" customWidth="1"/>
    <col min="21" max="21" width="17.1640625" style="42" bestFit="1" customWidth="1"/>
    <col min="22" max="22" width="17.25" style="42" bestFit="1" customWidth="1"/>
    <col min="23" max="23" width="17.1640625" style="42" bestFit="1" customWidth="1"/>
    <col min="24" max="24" width="17.25" style="42" bestFit="1" customWidth="1"/>
    <col min="25" max="25" width="17.1640625" style="42" bestFit="1" customWidth="1"/>
    <col min="26" max="26" width="23.6640625" style="42" bestFit="1" customWidth="1"/>
    <col min="27" max="27" width="23.58203125" style="42" bestFit="1" customWidth="1"/>
    <col min="28" max="16384" width="8.6640625" style="42"/>
  </cols>
  <sheetData>
    <row r="1" spans="1:14" x14ac:dyDescent="0.55000000000000004">
      <c r="A1" s="56" t="s">
        <v>430</v>
      </c>
      <c r="B1" s="56" t="s">
        <v>424</v>
      </c>
    </row>
    <row r="2" spans="1:14" x14ac:dyDescent="0.55000000000000004">
      <c r="A2" s="56" t="s">
        <v>431</v>
      </c>
      <c r="B2" s="56" t="s">
        <v>424</v>
      </c>
    </row>
    <row r="3" spans="1:14" x14ac:dyDescent="0.55000000000000004">
      <c r="A3" s="56" t="s">
        <v>425</v>
      </c>
      <c r="B3" s="57" t="s">
        <v>424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56" t="s">
        <v>427</v>
      </c>
      <c r="B4" s="56" t="s">
        <v>424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56" t="s">
        <v>420</v>
      </c>
      <c r="B6" s="57" t="s">
        <v>423</v>
      </c>
      <c r="C6" s="57" t="s">
        <v>422</v>
      </c>
      <c r="D6" s="59" t="s">
        <v>426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58" t="s">
        <v>421</v>
      </c>
      <c r="B7" s="57"/>
      <c r="C7" s="57"/>
      <c r="D7" s="59"/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0" r:id="rId7" name="GoToRegistDataBtn">
          <controlPr defaultSize="0" autoLine="0" r:id="rId8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7" name="GoToRegistDataBtn"/>
      </mc:Fallback>
    </mc:AlternateContent>
    <mc:AlternateContent xmlns:mc="http://schemas.openxmlformats.org/markup-compatibility/2006">
      <mc:Choice Requires="x14">
        <control shapeId="7174" r:id="rId9" name="SortByPointsBtn">
          <controlPr defaultSize="0" autoLine="0" autoPict="0" altText="" r:id="rId10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9" name="SortByPoint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6" r:id="rId13" name="SortByTimesBtn">
          <controlPr defaultSize="0" autoLine="0" r:id="rId14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13" name="SortByTimesBtn"/>
      </mc:Fallback>
    </mc:AlternateContent>
    <mc:AlternateContent xmlns:mc="http://schemas.openxmlformats.org/markup-compatibility/2006">
      <mc:Choice Requires="x14">
        <control shapeId="7177" r:id="rId15" name="ResetFilterBtn">
          <controlPr defaultSize="0" autoLine="0" r:id="rId16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15" name="ResetFilterBtn"/>
      </mc:Fallback>
    </mc:AlternateContent>
    <mc:AlternateContent xmlns:mc="http://schemas.openxmlformats.org/markup-compatibility/2006">
      <mc:Choice Requires="x14">
        <control shapeId="7178" r:id="rId17" name="GoToSettingsBtn">
          <controlPr defaultSize="0" autoLine="0" r:id="rId18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17" name="GoToSettings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41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9" customFormat="1" ht="32.5" customHeight="1" x14ac:dyDescent="0.55000000000000004">
      <c r="A1" s="40" t="s">
        <v>408</v>
      </c>
      <c r="B1" s="39" t="s">
        <v>409</v>
      </c>
      <c r="C1" s="39" t="s">
        <v>410</v>
      </c>
      <c r="D1" s="39" t="s">
        <v>411</v>
      </c>
      <c r="E1" s="39" t="s">
        <v>97</v>
      </c>
      <c r="F1" s="39" t="s">
        <v>226</v>
      </c>
      <c r="G1" s="39" t="s">
        <v>227</v>
      </c>
      <c r="H1" s="39" t="s">
        <v>412</v>
      </c>
      <c r="I1" s="39" t="s">
        <v>418</v>
      </c>
      <c r="J1" s="39" t="s">
        <v>419</v>
      </c>
      <c r="K1" s="39" t="s">
        <v>413</v>
      </c>
    </row>
    <row r="2" spans="1:11" x14ac:dyDescent="0.55000000000000004">
      <c r="B2" s="45"/>
    </row>
    <row r="3" spans="1:11" x14ac:dyDescent="0.55000000000000004">
      <c r="B3" s="45"/>
    </row>
    <row r="4" spans="1:11" x14ac:dyDescent="0.55000000000000004">
      <c r="B4" s="45"/>
    </row>
    <row r="5" spans="1:11" x14ac:dyDescent="0.55000000000000004">
      <c r="B5" s="45"/>
    </row>
    <row r="6" spans="1:11" x14ac:dyDescent="0.55000000000000004">
      <c r="B6" s="45"/>
    </row>
    <row r="7" spans="1:11" x14ac:dyDescent="0.55000000000000004">
      <c r="B7" s="45"/>
    </row>
    <row r="8" spans="1:11" x14ac:dyDescent="0.55000000000000004">
      <c r="B8" s="45"/>
    </row>
    <row r="9" spans="1:11" x14ac:dyDescent="0.55000000000000004">
      <c r="B9" s="45"/>
    </row>
    <row r="10" spans="1:11" x14ac:dyDescent="0.55000000000000004">
      <c r="B10" s="45"/>
    </row>
    <row r="11" spans="1:11" x14ac:dyDescent="0.55000000000000004">
      <c r="B11" s="45"/>
    </row>
    <row r="12" spans="1:11" x14ac:dyDescent="0.55000000000000004">
      <c r="B12" s="45"/>
    </row>
    <row r="13" spans="1:11" x14ac:dyDescent="0.55000000000000004">
      <c r="B13" s="45"/>
    </row>
    <row r="14" spans="1:11" x14ac:dyDescent="0.55000000000000004">
      <c r="B14" s="45"/>
    </row>
    <row r="15" spans="1:11" x14ac:dyDescent="0.55000000000000004">
      <c r="B15" s="45"/>
    </row>
    <row r="16" spans="1:11" x14ac:dyDescent="0.55000000000000004">
      <c r="B16" s="45"/>
    </row>
    <row r="17" spans="2:2" x14ac:dyDescent="0.55000000000000004">
      <c r="B17" s="45"/>
    </row>
    <row r="18" spans="2:2" x14ac:dyDescent="0.55000000000000004">
      <c r="B18" s="45"/>
    </row>
    <row r="19" spans="2:2" x14ac:dyDescent="0.55000000000000004">
      <c r="B19" s="45"/>
    </row>
    <row r="20" spans="2:2" x14ac:dyDescent="0.55000000000000004">
      <c r="B20" s="45"/>
    </row>
    <row r="21" spans="2:2" x14ac:dyDescent="0.55000000000000004">
      <c r="B21" s="45"/>
    </row>
    <row r="22" spans="2:2" x14ac:dyDescent="0.55000000000000004">
      <c r="B22" s="45"/>
    </row>
    <row r="23" spans="2:2" x14ac:dyDescent="0.55000000000000004">
      <c r="B23" s="45"/>
    </row>
    <row r="24" spans="2:2" x14ac:dyDescent="0.55000000000000004">
      <c r="B24" s="45"/>
    </row>
    <row r="25" spans="2:2" x14ac:dyDescent="0.55000000000000004">
      <c r="B25" s="45"/>
    </row>
    <row r="26" spans="2:2" x14ac:dyDescent="0.55000000000000004">
      <c r="B26" s="45"/>
    </row>
    <row r="27" spans="2:2" x14ac:dyDescent="0.55000000000000004">
      <c r="B27" s="45"/>
    </row>
    <row r="28" spans="2:2" x14ac:dyDescent="0.55000000000000004">
      <c r="B28" s="45"/>
    </row>
    <row r="29" spans="2:2" x14ac:dyDescent="0.55000000000000004">
      <c r="B29" s="45"/>
    </row>
    <row r="30" spans="2:2" x14ac:dyDescent="0.55000000000000004">
      <c r="B30" s="45"/>
    </row>
    <row r="31" spans="2:2" x14ac:dyDescent="0.55000000000000004">
      <c r="B31" s="45"/>
    </row>
    <row r="32" spans="2:2" x14ac:dyDescent="0.55000000000000004">
      <c r="B32" s="45"/>
    </row>
    <row r="33" spans="2:2" x14ac:dyDescent="0.55000000000000004">
      <c r="B33" s="45"/>
    </row>
    <row r="34" spans="2:2" x14ac:dyDescent="0.55000000000000004">
      <c r="B34" s="45"/>
    </row>
    <row r="35" spans="2:2" x14ac:dyDescent="0.55000000000000004">
      <c r="B35" s="45"/>
    </row>
    <row r="36" spans="2:2" x14ac:dyDescent="0.55000000000000004">
      <c r="B36" s="45"/>
    </row>
    <row r="37" spans="2:2" x14ac:dyDescent="0.55000000000000004">
      <c r="B37" s="45"/>
    </row>
    <row r="38" spans="2:2" x14ac:dyDescent="0.55000000000000004">
      <c r="B38" s="45"/>
    </row>
    <row r="39" spans="2:2" x14ac:dyDescent="0.55000000000000004">
      <c r="B39" s="45"/>
    </row>
    <row r="40" spans="2:2" x14ac:dyDescent="0.55000000000000004">
      <c r="B40" s="45"/>
    </row>
    <row r="41" spans="2:2" x14ac:dyDescent="0.55000000000000004">
      <c r="B41" s="45"/>
    </row>
    <row r="42" spans="2:2" x14ac:dyDescent="0.55000000000000004">
      <c r="B42" s="45"/>
    </row>
    <row r="43" spans="2:2" x14ac:dyDescent="0.55000000000000004">
      <c r="B43" s="45"/>
    </row>
    <row r="44" spans="2:2" x14ac:dyDescent="0.55000000000000004">
      <c r="B44" s="45"/>
    </row>
    <row r="45" spans="2:2" x14ac:dyDescent="0.55000000000000004">
      <c r="B45" s="45"/>
    </row>
    <row r="46" spans="2:2" x14ac:dyDescent="0.55000000000000004">
      <c r="B46" s="45"/>
    </row>
    <row r="47" spans="2:2" x14ac:dyDescent="0.55000000000000004">
      <c r="B47" s="45"/>
    </row>
    <row r="48" spans="2:2" x14ac:dyDescent="0.55000000000000004">
      <c r="B48" s="45"/>
    </row>
    <row r="49" spans="2:2" x14ac:dyDescent="0.55000000000000004">
      <c r="B49" s="45"/>
    </row>
    <row r="50" spans="2:2" x14ac:dyDescent="0.55000000000000004">
      <c r="B50" s="45"/>
    </row>
    <row r="51" spans="2:2" x14ac:dyDescent="0.55000000000000004">
      <c r="B51" s="45"/>
    </row>
    <row r="52" spans="2:2" x14ac:dyDescent="0.55000000000000004">
      <c r="B52" s="45"/>
    </row>
    <row r="53" spans="2:2" x14ac:dyDescent="0.55000000000000004">
      <c r="B53" s="45"/>
    </row>
    <row r="54" spans="2:2" x14ac:dyDescent="0.55000000000000004">
      <c r="B54" s="45"/>
    </row>
    <row r="55" spans="2:2" x14ac:dyDescent="0.55000000000000004">
      <c r="B55" s="45"/>
    </row>
    <row r="56" spans="2:2" x14ac:dyDescent="0.55000000000000004">
      <c r="B56" s="45"/>
    </row>
    <row r="57" spans="2:2" x14ac:dyDescent="0.55000000000000004">
      <c r="B57" s="45"/>
    </row>
    <row r="58" spans="2:2" x14ac:dyDescent="0.55000000000000004">
      <c r="B58" s="45"/>
    </row>
    <row r="59" spans="2:2" x14ac:dyDescent="0.55000000000000004">
      <c r="B59" s="45"/>
    </row>
    <row r="60" spans="2:2" x14ac:dyDescent="0.55000000000000004">
      <c r="B60" s="45"/>
    </row>
    <row r="61" spans="2:2" x14ac:dyDescent="0.55000000000000004">
      <c r="B61" s="45"/>
    </row>
    <row r="62" spans="2:2" x14ac:dyDescent="0.55000000000000004">
      <c r="B62" s="45"/>
    </row>
    <row r="63" spans="2:2" x14ac:dyDescent="0.55000000000000004">
      <c r="B63" s="45"/>
    </row>
    <row r="64" spans="2:2" x14ac:dyDescent="0.55000000000000004">
      <c r="B64" s="45"/>
    </row>
    <row r="65" spans="2:2" x14ac:dyDescent="0.55000000000000004">
      <c r="B65" s="45"/>
    </row>
    <row r="66" spans="2:2" x14ac:dyDescent="0.55000000000000004">
      <c r="B66" s="45"/>
    </row>
    <row r="67" spans="2:2" x14ac:dyDescent="0.55000000000000004">
      <c r="B67" s="45"/>
    </row>
    <row r="68" spans="2:2" x14ac:dyDescent="0.55000000000000004">
      <c r="B68" s="45"/>
    </row>
    <row r="69" spans="2:2" x14ac:dyDescent="0.55000000000000004">
      <c r="B69" s="45"/>
    </row>
    <row r="70" spans="2:2" x14ac:dyDescent="0.55000000000000004">
      <c r="B70" s="45"/>
    </row>
    <row r="71" spans="2:2" x14ac:dyDescent="0.55000000000000004">
      <c r="B71" s="45"/>
    </row>
    <row r="72" spans="2:2" x14ac:dyDescent="0.55000000000000004">
      <c r="B72" s="45"/>
    </row>
    <row r="73" spans="2:2" x14ac:dyDescent="0.55000000000000004">
      <c r="B73" s="45"/>
    </row>
    <row r="74" spans="2:2" x14ac:dyDescent="0.55000000000000004">
      <c r="B74" s="45"/>
    </row>
    <row r="75" spans="2:2" x14ac:dyDescent="0.55000000000000004">
      <c r="B75" s="45"/>
    </row>
    <row r="76" spans="2:2" x14ac:dyDescent="0.55000000000000004">
      <c r="B76" s="45"/>
    </row>
    <row r="77" spans="2:2" x14ac:dyDescent="0.55000000000000004">
      <c r="B77" s="45"/>
    </row>
    <row r="78" spans="2:2" x14ac:dyDescent="0.55000000000000004">
      <c r="B78" s="45"/>
    </row>
    <row r="79" spans="2:2" x14ac:dyDescent="0.55000000000000004">
      <c r="B79" s="45"/>
    </row>
    <row r="80" spans="2:2" x14ac:dyDescent="0.55000000000000004">
      <c r="B80" s="45"/>
    </row>
    <row r="81" spans="2:2" x14ac:dyDescent="0.55000000000000004">
      <c r="B81" s="45"/>
    </row>
    <row r="82" spans="2:2" x14ac:dyDescent="0.55000000000000004">
      <c r="B82" s="45"/>
    </row>
    <row r="83" spans="2:2" x14ac:dyDescent="0.55000000000000004">
      <c r="B83" s="45"/>
    </row>
    <row r="84" spans="2:2" x14ac:dyDescent="0.55000000000000004">
      <c r="B84" s="45"/>
    </row>
    <row r="85" spans="2:2" x14ac:dyDescent="0.55000000000000004">
      <c r="B85" s="45"/>
    </row>
    <row r="86" spans="2:2" x14ac:dyDescent="0.55000000000000004">
      <c r="B86" s="45"/>
    </row>
    <row r="87" spans="2:2" x14ac:dyDescent="0.55000000000000004">
      <c r="B87" s="45"/>
    </row>
    <row r="88" spans="2:2" x14ac:dyDescent="0.55000000000000004">
      <c r="B88" s="45"/>
    </row>
    <row r="89" spans="2:2" x14ac:dyDescent="0.55000000000000004">
      <c r="B89" s="45"/>
    </row>
    <row r="90" spans="2:2" x14ac:dyDescent="0.55000000000000004">
      <c r="B90" s="45"/>
    </row>
    <row r="91" spans="2:2" x14ac:dyDescent="0.55000000000000004">
      <c r="B91" s="45"/>
    </row>
    <row r="92" spans="2:2" x14ac:dyDescent="0.55000000000000004">
      <c r="B92" s="45"/>
    </row>
    <row r="93" spans="2:2" x14ac:dyDescent="0.55000000000000004">
      <c r="B93" s="45"/>
    </row>
    <row r="94" spans="2:2" x14ac:dyDescent="0.55000000000000004">
      <c r="B94" s="45"/>
    </row>
    <row r="95" spans="2:2" x14ac:dyDescent="0.55000000000000004">
      <c r="B95" s="45"/>
    </row>
    <row r="96" spans="2:2" x14ac:dyDescent="0.55000000000000004">
      <c r="B96" s="45"/>
    </row>
    <row r="97" spans="2:2" x14ac:dyDescent="0.55000000000000004">
      <c r="B97" s="45"/>
    </row>
    <row r="98" spans="2:2" x14ac:dyDescent="0.55000000000000004">
      <c r="B98" s="45"/>
    </row>
    <row r="99" spans="2:2" x14ac:dyDescent="0.55000000000000004">
      <c r="B99" s="45"/>
    </row>
    <row r="100" spans="2:2" x14ac:dyDescent="0.55000000000000004">
      <c r="B100" s="45"/>
    </row>
    <row r="101" spans="2:2" x14ac:dyDescent="0.55000000000000004">
      <c r="B101" s="45"/>
    </row>
    <row r="102" spans="2:2" x14ac:dyDescent="0.55000000000000004">
      <c r="B102" s="45"/>
    </row>
    <row r="103" spans="2:2" x14ac:dyDescent="0.55000000000000004">
      <c r="B103" s="45"/>
    </row>
    <row r="104" spans="2:2" x14ac:dyDescent="0.55000000000000004">
      <c r="B104" s="45"/>
    </row>
    <row r="105" spans="2:2" x14ac:dyDescent="0.55000000000000004">
      <c r="B105" s="45"/>
    </row>
    <row r="106" spans="2:2" x14ac:dyDescent="0.55000000000000004">
      <c r="B106" s="45"/>
    </row>
    <row r="107" spans="2:2" x14ac:dyDescent="0.55000000000000004">
      <c r="B107" s="45"/>
    </row>
    <row r="108" spans="2:2" x14ac:dyDescent="0.55000000000000004">
      <c r="B108" s="45"/>
    </row>
    <row r="109" spans="2:2" x14ac:dyDescent="0.55000000000000004">
      <c r="B109" s="45"/>
    </row>
    <row r="110" spans="2:2" x14ac:dyDescent="0.55000000000000004">
      <c r="B110" s="45"/>
    </row>
    <row r="111" spans="2:2" x14ac:dyDescent="0.55000000000000004">
      <c r="B111" s="45"/>
    </row>
    <row r="112" spans="2:2" x14ac:dyDescent="0.55000000000000004">
      <c r="B112" s="45"/>
    </row>
    <row r="113" spans="2:2" x14ac:dyDescent="0.55000000000000004">
      <c r="B113" s="45"/>
    </row>
    <row r="114" spans="2:2" x14ac:dyDescent="0.55000000000000004">
      <c r="B114" s="45"/>
    </row>
    <row r="115" spans="2:2" x14ac:dyDescent="0.55000000000000004">
      <c r="B115" s="45"/>
    </row>
    <row r="116" spans="2:2" x14ac:dyDescent="0.55000000000000004">
      <c r="B116" s="45"/>
    </row>
    <row r="117" spans="2:2" x14ac:dyDescent="0.55000000000000004">
      <c r="B117" s="45"/>
    </row>
    <row r="118" spans="2:2" x14ac:dyDescent="0.55000000000000004">
      <c r="B118" s="45"/>
    </row>
    <row r="119" spans="2:2" x14ac:dyDescent="0.55000000000000004">
      <c r="B119" s="45"/>
    </row>
    <row r="120" spans="2:2" x14ac:dyDescent="0.55000000000000004">
      <c r="B120" s="45"/>
    </row>
    <row r="121" spans="2:2" x14ac:dyDescent="0.55000000000000004">
      <c r="B121" s="45"/>
    </row>
    <row r="122" spans="2:2" x14ac:dyDescent="0.55000000000000004">
      <c r="B122" s="45"/>
    </row>
    <row r="123" spans="2:2" x14ac:dyDescent="0.55000000000000004">
      <c r="B123" s="45"/>
    </row>
    <row r="124" spans="2:2" x14ac:dyDescent="0.55000000000000004">
      <c r="B124" s="45"/>
    </row>
    <row r="125" spans="2:2" x14ac:dyDescent="0.55000000000000004">
      <c r="B125" s="45"/>
    </row>
    <row r="126" spans="2:2" x14ac:dyDescent="0.55000000000000004">
      <c r="B126" s="45"/>
    </row>
    <row r="127" spans="2:2" x14ac:dyDescent="0.55000000000000004">
      <c r="B127" s="45"/>
    </row>
    <row r="128" spans="2:2" x14ac:dyDescent="0.55000000000000004">
      <c r="B128" s="45"/>
    </row>
    <row r="129" spans="2:2" x14ac:dyDescent="0.55000000000000004">
      <c r="B129" s="45"/>
    </row>
    <row r="130" spans="2:2" x14ac:dyDescent="0.55000000000000004">
      <c r="B130" s="45"/>
    </row>
    <row r="131" spans="2:2" x14ac:dyDescent="0.55000000000000004">
      <c r="B131" s="45"/>
    </row>
    <row r="132" spans="2:2" x14ac:dyDescent="0.55000000000000004">
      <c r="B132" s="45"/>
    </row>
    <row r="133" spans="2:2" x14ac:dyDescent="0.55000000000000004">
      <c r="B133" s="45"/>
    </row>
    <row r="134" spans="2:2" x14ac:dyDescent="0.55000000000000004">
      <c r="B134" s="45"/>
    </row>
    <row r="135" spans="2:2" x14ac:dyDescent="0.55000000000000004">
      <c r="B135" s="45"/>
    </row>
    <row r="136" spans="2:2" x14ac:dyDescent="0.55000000000000004">
      <c r="B136" s="45"/>
    </row>
    <row r="137" spans="2:2" x14ac:dyDescent="0.55000000000000004">
      <c r="B137" s="45"/>
    </row>
    <row r="138" spans="2:2" x14ac:dyDescent="0.55000000000000004">
      <c r="B138" s="45"/>
    </row>
    <row r="139" spans="2:2" x14ac:dyDescent="0.55000000000000004">
      <c r="B139" s="45"/>
    </row>
    <row r="140" spans="2:2" x14ac:dyDescent="0.55000000000000004">
      <c r="B140" s="45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30.83203125" style="46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54" t="s">
        <v>391</v>
      </c>
      <c r="B1" s="54"/>
      <c r="C1" s="54"/>
    </row>
    <row r="2" spans="1:3" ht="6.5" customHeight="1" x14ac:dyDescent="0.55000000000000004"/>
    <row r="3" spans="1:3" ht="25" customHeight="1" x14ac:dyDescent="0.55000000000000004">
      <c r="A3" s="47" t="s">
        <v>384</v>
      </c>
      <c r="B3" s="8" t="str">
        <f>VLOOKUP(C3,Storage!C:D,2,FALSE)</f>
        <v>jp</v>
      </c>
      <c r="C3" s="38" t="s">
        <v>417</v>
      </c>
    </row>
    <row r="4" spans="1:3" ht="25" customHeight="1" x14ac:dyDescent="0.55000000000000004">
      <c r="A4" s="51" t="s">
        <v>429</v>
      </c>
      <c r="B4" s="52">
        <f>C4</f>
        <v>1</v>
      </c>
      <c r="C4" s="8">
        <v>1</v>
      </c>
    </row>
    <row r="5" spans="1:3" ht="25" customHeight="1" x14ac:dyDescent="0.55000000000000004">
      <c r="A5" s="48"/>
      <c r="B5" s="1"/>
    </row>
    <row r="6" spans="1:3" ht="25" customHeight="1" x14ac:dyDescent="0.55000000000000004">
      <c r="A6" s="48"/>
      <c r="B6" s="1"/>
    </row>
    <row r="7" spans="1:3" ht="25" customHeight="1" x14ac:dyDescent="0.55000000000000004">
      <c r="A7" s="48"/>
      <c r="B7" s="1"/>
    </row>
    <row r="8" spans="1:3" ht="25" customHeight="1" x14ac:dyDescent="0.55000000000000004">
      <c r="A8" s="48"/>
      <c r="B8" s="1"/>
    </row>
    <row r="9" spans="1:3" ht="25" customHeight="1" x14ac:dyDescent="0.55000000000000004">
      <c r="A9" s="48"/>
      <c r="B9" s="1"/>
    </row>
    <row r="10" spans="1:3" ht="25" customHeight="1" x14ac:dyDescent="0.55000000000000004">
      <c r="A10" s="48"/>
      <c r="B10" s="1"/>
    </row>
    <row r="11" spans="1:3" ht="25" customHeight="1" x14ac:dyDescent="0.55000000000000004">
      <c r="A11" s="48"/>
      <c r="B11" s="1"/>
    </row>
    <row r="12" spans="1:3" ht="25" customHeight="1" x14ac:dyDescent="0.55000000000000004">
      <c r="A12" s="48"/>
      <c r="B12" s="1"/>
    </row>
    <row r="13" spans="1:3" ht="25" customHeight="1" x14ac:dyDescent="0.55000000000000004">
      <c r="A13" s="48"/>
      <c r="B13" s="1"/>
    </row>
    <row r="14" spans="1:3" ht="25" customHeight="1" x14ac:dyDescent="0.55000000000000004">
      <c r="A14" s="48"/>
      <c r="B14" s="1"/>
    </row>
    <row r="15" spans="1:3" ht="25" customHeight="1" x14ac:dyDescent="0.55000000000000004">
      <c r="A15" s="48"/>
      <c r="B15" s="1"/>
    </row>
    <row r="16" spans="1:3" x14ac:dyDescent="0.55000000000000004">
      <c r="A16" s="48"/>
      <c r="B16" s="1"/>
    </row>
    <row r="17" spans="1:2" x14ac:dyDescent="0.55000000000000004">
      <c r="A17" s="48"/>
      <c r="B17" s="1"/>
    </row>
    <row r="18" spans="1:2" x14ac:dyDescent="0.55000000000000004">
      <c r="A18" s="48"/>
      <c r="B18" s="1"/>
    </row>
    <row r="19" spans="1:2" x14ac:dyDescent="0.55000000000000004">
      <c r="A19" s="48"/>
      <c r="B19" s="1"/>
    </row>
    <row r="20" spans="1:2" x14ac:dyDescent="0.55000000000000004">
      <c r="A20" s="48"/>
      <c r="B20" s="1"/>
    </row>
    <row r="21" spans="1:2" x14ac:dyDescent="0.55000000000000004">
      <c r="A21" s="48"/>
      <c r="B21" s="1"/>
    </row>
    <row r="22" spans="1:2" x14ac:dyDescent="0.55000000000000004">
      <c r="A22" s="48"/>
      <c r="B22" s="1"/>
    </row>
    <row r="23" spans="1:2" x14ac:dyDescent="0.55000000000000004">
      <c r="A23" s="48"/>
      <c r="B23" s="1"/>
    </row>
    <row r="24" spans="1:2" x14ac:dyDescent="0.55000000000000004">
      <c r="A24" s="48"/>
      <c r="B24" s="1"/>
    </row>
    <row r="25" spans="1:2" x14ac:dyDescent="0.55000000000000004">
      <c r="A25" s="48"/>
      <c r="B25" s="1"/>
    </row>
    <row r="26" spans="1:2" x14ac:dyDescent="0.55000000000000004">
      <c r="A26" s="48"/>
      <c r="B26" s="1"/>
    </row>
    <row r="27" spans="1:2" x14ac:dyDescent="0.55000000000000004">
      <c r="A27" s="48"/>
      <c r="B27" s="1"/>
    </row>
    <row r="28" spans="1:2" x14ac:dyDescent="0.55000000000000004">
      <c r="A28" s="48"/>
      <c r="B28" s="1"/>
    </row>
    <row r="29" spans="1:2" x14ac:dyDescent="0.55000000000000004">
      <c r="A29" s="48"/>
      <c r="B29" s="1"/>
    </row>
    <row r="30" spans="1:2" x14ac:dyDescent="0.55000000000000004">
      <c r="A30" s="48"/>
      <c r="B30" s="1"/>
    </row>
    <row r="31" spans="1:2" x14ac:dyDescent="0.55000000000000004">
      <c r="A31" s="48"/>
      <c r="B31" s="1"/>
    </row>
    <row r="32" spans="1:2" x14ac:dyDescent="0.55000000000000004">
      <c r="A32" s="48"/>
      <c r="B32" s="1"/>
    </row>
    <row r="33" spans="1:2" x14ac:dyDescent="0.55000000000000004">
      <c r="A33" s="48"/>
      <c r="B33" s="1"/>
    </row>
    <row r="34" spans="1:2" x14ac:dyDescent="0.55000000000000004">
      <c r="A34" s="48"/>
      <c r="B34" s="1"/>
    </row>
    <row r="35" spans="1:2" x14ac:dyDescent="0.55000000000000004">
      <c r="A35" s="48"/>
      <c r="B35" s="1"/>
    </row>
    <row r="36" spans="1:2" x14ac:dyDescent="0.55000000000000004">
      <c r="A36" s="48"/>
      <c r="B36" s="1"/>
    </row>
    <row r="37" spans="1:2" x14ac:dyDescent="0.55000000000000004">
      <c r="A37" s="48"/>
      <c r="B37" s="1"/>
    </row>
    <row r="38" spans="1:2" x14ac:dyDescent="0.55000000000000004">
      <c r="A38" s="48"/>
      <c r="B38" s="1"/>
    </row>
    <row r="39" spans="1:2" x14ac:dyDescent="0.55000000000000004">
      <c r="A39" s="48"/>
      <c r="B39" s="1"/>
    </row>
    <row r="40" spans="1:2" x14ac:dyDescent="0.55000000000000004">
      <c r="A40" s="48"/>
      <c r="B40" s="1"/>
    </row>
    <row r="41" spans="1:2" x14ac:dyDescent="0.55000000000000004">
      <c r="A41" s="48"/>
      <c r="B41" s="1"/>
    </row>
    <row r="42" spans="1:2" x14ac:dyDescent="0.55000000000000004">
      <c r="A42" s="48"/>
      <c r="B42" s="1"/>
    </row>
    <row r="43" spans="1:2" x14ac:dyDescent="0.55000000000000004">
      <c r="A43" s="48"/>
      <c r="B43" s="1"/>
    </row>
    <row r="44" spans="1:2" x14ac:dyDescent="0.55000000000000004">
      <c r="A44" s="48"/>
      <c r="B44" s="1"/>
    </row>
    <row r="45" spans="1:2" x14ac:dyDescent="0.55000000000000004">
      <c r="A45" s="48"/>
      <c r="B45" s="1"/>
    </row>
    <row r="46" spans="1:2" x14ac:dyDescent="0.55000000000000004">
      <c r="A46" s="48"/>
      <c r="B46" s="1"/>
    </row>
    <row r="47" spans="1:2" x14ac:dyDescent="0.55000000000000004">
      <c r="A47" s="48"/>
      <c r="B47" s="1"/>
    </row>
    <row r="48" spans="1:2" x14ac:dyDescent="0.55000000000000004">
      <c r="A48" s="48"/>
      <c r="B48" s="1"/>
    </row>
    <row r="49" spans="1:2" x14ac:dyDescent="0.55000000000000004">
      <c r="A49" s="48"/>
      <c r="B49" s="1"/>
    </row>
    <row r="50" spans="1:2" x14ac:dyDescent="0.55000000000000004">
      <c r="A50" s="48"/>
      <c r="B50" s="1"/>
    </row>
    <row r="51" spans="1:2" x14ac:dyDescent="0.55000000000000004">
      <c r="A51" s="48"/>
      <c r="B51" s="1"/>
    </row>
    <row r="52" spans="1:2" x14ac:dyDescent="0.55000000000000004">
      <c r="A52" s="48"/>
      <c r="B52" s="1"/>
    </row>
    <row r="53" spans="1:2" x14ac:dyDescent="0.55000000000000004">
      <c r="A53" s="48"/>
      <c r="B53" s="1"/>
    </row>
    <row r="54" spans="1:2" x14ac:dyDescent="0.55000000000000004">
      <c r="A54" s="48"/>
      <c r="B54" s="1"/>
    </row>
    <row r="55" spans="1:2" x14ac:dyDescent="0.55000000000000004">
      <c r="A55" s="48"/>
      <c r="B55" s="1"/>
    </row>
    <row r="56" spans="1:2" x14ac:dyDescent="0.55000000000000004">
      <c r="A56" s="48"/>
      <c r="B56" s="1"/>
    </row>
    <row r="57" spans="1:2" x14ac:dyDescent="0.55000000000000004">
      <c r="A57" s="48"/>
      <c r="B57" s="1"/>
    </row>
    <row r="58" spans="1:2" x14ac:dyDescent="0.55000000000000004">
      <c r="A58" s="48"/>
      <c r="B58" s="1"/>
    </row>
    <row r="59" spans="1:2" x14ac:dyDescent="0.55000000000000004">
      <c r="A59" s="48"/>
      <c r="B59" s="1"/>
    </row>
    <row r="60" spans="1:2" x14ac:dyDescent="0.55000000000000004">
      <c r="A60" s="48"/>
      <c r="B60" s="1"/>
    </row>
    <row r="61" spans="1:2" x14ac:dyDescent="0.55000000000000004">
      <c r="A61" s="48"/>
      <c r="B61" s="1"/>
    </row>
    <row r="62" spans="1:2" x14ac:dyDescent="0.55000000000000004">
      <c r="A62" s="48"/>
      <c r="B62" s="1"/>
    </row>
    <row r="63" spans="1:2" x14ac:dyDescent="0.55000000000000004">
      <c r="A63" s="48"/>
      <c r="B63" s="1"/>
    </row>
    <row r="64" spans="1:2" x14ac:dyDescent="0.55000000000000004">
      <c r="A64" s="48"/>
      <c r="B64" s="1"/>
    </row>
    <row r="65" spans="1:3" x14ac:dyDescent="0.55000000000000004">
      <c r="A65" s="48"/>
      <c r="B65" s="1"/>
    </row>
    <row r="66" spans="1:3" x14ac:dyDescent="0.55000000000000004">
      <c r="A66" s="49"/>
      <c r="B66" s="3"/>
      <c r="C66" s="6"/>
    </row>
    <row r="67" spans="1:3" x14ac:dyDescent="0.55000000000000004">
      <c r="A67" s="50"/>
      <c r="B67" s="2"/>
      <c r="C67" s="7"/>
    </row>
    <row r="68" spans="1:3" x14ac:dyDescent="0.55000000000000004">
      <c r="A68" s="50"/>
      <c r="B68" s="2"/>
      <c r="C68" s="7"/>
    </row>
    <row r="69" spans="1:3" x14ac:dyDescent="0.55000000000000004">
      <c r="A69" s="50"/>
      <c r="B69" s="2"/>
      <c r="C69" s="7"/>
    </row>
    <row r="70" spans="1:3" x14ac:dyDescent="0.55000000000000004">
      <c r="A70" s="50"/>
      <c r="B70" s="2"/>
      <c r="C70" s="7"/>
    </row>
    <row r="71" spans="1:3" x14ac:dyDescent="0.55000000000000004">
      <c r="A71" s="50"/>
      <c r="B71" s="2"/>
      <c r="C71" s="7"/>
    </row>
    <row r="72" spans="1:3" x14ac:dyDescent="0.55000000000000004">
      <c r="A72" s="50"/>
      <c r="B72" s="2"/>
      <c r="C72" s="7"/>
    </row>
    <row r="73" spans="1:3" x14ac:dyDescent="0.55000000000000004">
      <c r="A73" s="50"/>
      <c r="B73" s="2"/>
      <c r="C73" s="7"/>
    </row>
    <row r="74" spans="1:3" x14ac:dyDescent="0.55000000000000004">
      <c r="A74" s="48"/>
      <c r="B74" s="1"/>
    </row>
    <row r="75" spans="1:3" x14ac:dyDescent="0.55000000000000004">
      <c r="A75" s="48"/>
      <c r="B75" s="1"/>
    </row>
    <row r="76" spans="1:3" x14ac:dyDescent="0.55000000000000004">
      <c r="A76" s="48"/>
      <c r="B76" s="1"/>
    </row>
    <row r="77" spans="1:3" x14ac:dyDescent="0.55000000000000004">
      <c r="A77" s="48"/>
      <c r="B77" s="1"/>
    </row>
    <row r="78" spans="1:3" x14ac:dyDescent="0.55000000000000004">
      <c r="A78" s="48"/>
      <c r="B78" s="1"/>
    </row>
    <row r="79" spans="1:3" x14ac:dyDescent="0.55000000000000004">
      <c r="A79" s="48"/>
      <c r="B79" s="1"/>
    </row>
    <row r="80" spans="1:3" x14ac:dyDescent="0.55000000000000004">
      <c r="A80" s="48"/>
      <c r="B80" s="1"/>
    </row>
    <row r="81" spans="1:2" x14ac:dyDescent="0.55000000000000004">
      <c r="A81" s="48"/>
      <c r="B81" s="1"/>
    </row>
  </sheetData>
  <sheetProtection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3" name="RestartButto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5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89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1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432</v>
      </c>
      <c r="B82" s="1" t="s">
        <v>448</v>
      </c>
    </row>
    <row r="83" spans="1:2" x14ac:dyDescent="0.55000000000000004">
      <c r="A83" s="1" t="s">
        <v>433</v>
      </c>
      <c r="B83" s="1" t="s">
        <v>449</v>
      </c>
    </row>
    <row r="84" spans="1:2" x14ac:dyDescent="0.55000000000000004">
      <c r="A84" s="1" t="s">
        <v>434</v>
      </c>
      <c r="B84" s="1" t="s">
        <v>450</v>
      </c>
    </row>
    <row r="85" spans="1:2" x14ac:dyDescent="0.55000000000000004">
      <c r="A85" s="1" t="s">
        <v>435</v>
      </c>
      <c r="B85" s="1" t="s">
        <v>451</v>
      </c>
    </row>
    <row r="86" spans="1:2" x14ac:dyDescent="0.55000000000000004">
      <c r="A86" s="1" t="s">
        <v>436</v>
      </c>
      <c r="B86" s="1" t="s">
        <v>452</v>
      </c>
    </row>
    <row r="87" spans="1:2" x14ac:dyDescent="0.55000000000000004">
      <c r="A87" s="1" t="s">
        <v>437</v>
      </c>
      <c r="B87" s="1" t="s">
        <v>453</v>
      </c>
    </row>
    <row r="88" spans="1:2" x14ac:dyDescent="0.55000000000000004">
      <c r="A88" s="1" t="s">
        <v>438</v>
      </c>
      <c r="B88" s="1" t="s">
        <v>454</v>
      </c>
    </row>
    <row r="89" spans="1:2" x14ac:dyDescent="0.55000000000000004">
      <c r="A89" s="1" t="s">
        <v>439</v>
      </c>
      <c r="B89" s="1" t="s">
        <v>455</v>
      </c>
    </row>
  </sheetData>
  <sheetProtection algorithmName="SHA-512" hashValue="2aSWpfFK9BYN0QxjY7jMKt6Dtrsyx6uEDLfZw/mNXmNIRksHSfZHcYeK9v1ugSyO1UkVXNqfx5o3fgXQQul4/A==" saltValue="rYJx35S5XFFZsVioc/fk8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9"/>
  <sheetViews>
    <sheetView topLeftCell="A16"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  <row r="82" spans="1:6" x14ac:dyDescent="0.55000000000000004">
      <c r="A82" s="1" t="s">
        <v>448</v>
      </c>
      <c r="B82" s="1" t="s">
        <v>432</v>
      </c>
      <c r="C82" s="1" t="s">
        <v>440</v>
      </c>
      <c r="D82" s="2" t="s">
        <v>456</v>
      </c>
      <c r="E82" s="1" t="s">
        <v>461</v>
      </c>
      <c r="F82" s="1">
        <v>1</v>
      </c>
    </row>
    <row r="83" spans="1:6" x14ac:dyDescent="0.55000000000000004">
      <c r="A83" s="1" t="s">
        <v>449</v>
      </c>
      <c r="B83" s="1" t="s">
        <v>433</v>
      </c>
      <c r="C83" s="1" t="s">
        <v>441</v>
      </c>
      <c r="D83" s="2" t="s">
        <v>457</v>
      </c>
      <c r="E83" s="1" t="s">
        <v>461</v>
      </c>
      <c r="F83" s="1">
        <v>2</v>
      </c>
    </row>
    <row r="84" spans="1:6" x14ac:dyDescent="0.55000000000000004">
      <c r="A84" s="1" t="s">
        <v>450</v>
      </c>
      <c r="B84" s="1" t="s">
        <v>434</v>
      </c>
      <c r="C84" s="1" t="s">
        <v>442</v>
      </c>
      <c r="D84" s="2" t="s">
        <v>458</v>
      </c>
      <c r="E84" s="1" t="s">
        <v>461</v>
      </c>
      <c r="F84" s="1">
        <v>3</v>
      </c>
    </row>
    <row r="85" spans="1:6" x14ac:dyDescent="0.55000000000000004">
      <c r="A85" s="1" t="s">
        <v>451</v>
      </c>
      <c r="B85" s="1" t="s">
        <v>435</v>
      </c>
      <c r="C85" s="1" t="s">
        <v>443</v>
      </c>
      <c r="D85" s="2" t="s">
        <v>459</v>
      </c>
      <c r="E85" s="1" t="s">
        <v>461</v>
      </c>
      <c r="F85" s="1">
        <v>4</v>
      </c>
    </row>
    <row r="86" spans="1:6" x14ac:dyDescent="0.55000000000000004">
      <c r="A86" s="1" t="s">
        <v>452</v>
      </c>
      <c r="B86" s="1" t="s">
        <v>436</v>
      </c>
      <c r="C86" s="1" t="s">
        <v>444</v>
      </c>
      <c r="D86" s="2" t="s">
        <v>456</v>
      </c>
      <c r="E86" s="1" t="s">
        <v>467</v>
      </c>
      <c r="F86" s="1">
        <v>1</v>
      </c>
    </row>
    <row r="87" spans="1:6" x14ac:dyDescent="0.55000000000000004">
      <c r="A87" s="1" t="s">
        <v>453</v>
      </c>
      <c r="B87" s="1" t="s">
        <v>437</v>
      </c>
      <c r="C87" s="1" t="s">
        <v>445</v>
      </c>
      <c r="D87" s="2" t="s">
        <v>460</v>
      </c>
      <c r="E87" s="1" t="s">
        <v>467</v>
      </c>
      <c r="F87" s="1">
        <v>2</v>
      </c>
    </row>
    <row r="88" spans="1:6" x14ac:dyDescent="0.55000000000000004">
      <c r="A88" s="1" t="s">
        <v>454</v>
      </c>
      <c r="B88" s="1" t="s">
        <v>438</v>
      </c>
      <c r="C88" s="1" t="s">
        <v>446</v>
      </c>
      <c r="D88" s="2" t="s">
        <v>458</v>
      </c>
      <c r="E88" s="1" t="s">
        <v>467</v>
      </c>
      <c r="F88" s="1">
        <v>3</v>
      </c>
    </row>
    <row r="89" spans="1:6" x14ac:dyDescent="0.55000000000000004">
      <c r="A89" s="1" t="s">
        <v>455</v>
      </c>
      <c r="B89" s="1" t="s">
        <v>439</v>
      </c>
      <c r="C89" s="1" t="s">
        <v>447</v>
      </c>
      <c r="D89" s="2" t="s">
        <v>456</v>
      </c>
      <c r="E89" s="1" t="s">
        <v>467</v>
      </c>
      <c r="F89" s="1">
        <v>4</v>
      </c>
    </row>
  </sheetData>
  <sheetProtection algorithmName="SHA-512" hashValue="k2dtL2kNs2k3SDhr5xLTB9hR//0JAvfcyWcomJ6e37inJ0pcGIa+y+OCubFDvOFeJM1+J/FDzMq9J6cxSsPWEA==" saltValue="0hRvz+LkuObhogBrNh+gM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>
      <selection activeCell="A24" sqref="A24"/>
    </sheetView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461</v>
      </c>
      <c r="B22" s="1" t="s">
        <v>462</v>
      </c>
      <c r="C22" s="1" t="s">
        <v>463</v>
      </c>
      <c r="D22" s="1">
        <v>21</v>
      </c>
      <c r="E22" s="1" t="s">
        <v>464</v>
      </c>
    </row>
    <row r="23" spans="1:5" x14ac:dyDescent="0.55000000000000004">
      <c r="A23" s="1" t="s">
        <v>467</v>
      </c>
      <c r="B23" s="1" t="s">
        <v>466</v>
      </c>
      <c r="C23" s="1" t="s">
        <v>465</v>
      </c>
      <c r="D23" s="1">
        <v>22</v>
      </c>
      <c r="E23" s="1" t="s">
        <v>464</v>
      </c>
    </row>
    <row r="66" s="2" customFormat="1" x14ac:dyDescent="0.55000000000000004"/>
  </sheetData>
  <sheetProtection algorithmName="SHA-512" hashValue="gWefFD7ukK4muqdw5UAQoA4v1QfnnUv3C/1FU1Nqf2u3KtDJHOiAUWXl23CmkvoougIM8gFV9s+SdatdoqMktA==" saltValue="5pC0Qe6z8ieTTP4rPVfik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2023-11-02T15:23:34Z</dcterms:modified>
</cp:coreProperties>
</file>