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F2B99C8A-FA10-4F4C-85AA-77AF68A98A52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-110" yWindow="-110" windowWidth="22780" windowHeight="1466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86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3" l="1"/>
  <c r="B3" i="13"/>
  <c r="E7" i="11"/>
  <c r="E8" i="11"/>
  <c r="E9" i="11"/>
  <c r="E10" i="11"/>
  <c r="E11" i="11"/>
  <c r="E12" i="11"/>
  <c r="E13" i="11"/>
  <c r="E14" i="11"/>
  <c r="E15" i="11"/>
  <c r="E16" i="11"/>
  <c r="E17" i="11"/>
  <c r="E6" i="11"/>
  <c r="C18" i="11" l="1"/>
</calcChain>
</file>

<file path=xl/sharedStrings.xml><?xml version="1.0" encoding="utf-8"?>
<sst xmlns="http://schemas.openxmlformats.org/spreadsheetml/2006/main" count="816" uniqueCount="436">
  <si>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</si>
  <si>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</si>
  <si>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</si>
  <si>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</si>
  <si>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</si>
  <si>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</si>
  <si>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</si>
  <si>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</si>
  <si>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</si>
  <si>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</si>
  <si>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</si>
  <si>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</si>
  <si>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</si>
  <si>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</si>
  <si>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</si>
  <si>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</si>
  <si>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</si>
  <si>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</si>
  <si>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</si>
  <si>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</si>
  <si>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</si>
  <si>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</si>
  <si>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</si>
  <si>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</si>
  <si>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</si>
  <si>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</si>
  <si>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</si>
  <si>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</si>
  <si>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</si>
  <si>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</si>
  <si>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</si>
  <si>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</si>
  <si>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</si>
  <si>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</si>
  <si>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</si>
  <si>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</si>
  <si>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</si>
  <si>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</si>
  <si>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</si>
  <si>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</si>
  <si>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</si>
  <si>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</si>
  <si>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</si>
  <si>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</si>
  <si>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</si>
  <si>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</si>
  <si>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</si>
  <si>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</si>
  <si>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</si>
  <si>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</si>
  <si>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</si>
  <si>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</si>
  <si>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</si>
  <si>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</si>
  <si>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</si>
  <si>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</si>
  <si>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</si>
  <si>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</si>
  <si>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</si>
  <si>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</si>
  <si>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</si>
  <si>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</si>
  <si>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</si>
  <si>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</si>
  <si>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</si>
  <si>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</si>
  <si>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</si>
  <si>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</si>
  <si>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</si>
  <si>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</si>
  <si>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</si>
  <si>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</si>
  <si>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</si>
  <si>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</si>
  <si>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</si>
  <si>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</si>
  <si>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</si>
  <si>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</si>
  <si>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</si>
  <si>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</si>
  <si>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</si>
  <si>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</si>
  <si>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</si>
  <si>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</si>
  <si>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</si>
  <si>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</si>
  <si>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</si>
  <si>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</si>
  <si>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</si>
  <si>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</si>
  <si>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</si>
  <si>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</si>
  <si>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</si>
  <si>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</si>
  <si>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</si>
  <si>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</si>
  <si>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</si>
  <si>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</si>
  <si>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</si>
  <si>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</si>
  <si>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</si>
  <si>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</si>
  <si>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</si>
  <si>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</si>
  <si>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</si>
  <si>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</si>
  <si>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</si>
  <si>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</si>
  <si>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</si>
  <si>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</si>
  <si>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</si>
  <si>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</si>
  <si>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</si>
  <si>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</si>
  <si>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</si>
  <si>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</si>
  <si>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</si>
  <si>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</si>
  <si>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</si>
  <si>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</si>
  <si>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</si>
  <si>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</si>
  <si>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</si>
  <si>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</si>
  <si>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</si>
  <si>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</si>
  <si>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</si>
  <si>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</si>
  <si>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</si>
  <si>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</si>
  <si>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</si>
  <si>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</si>
  <si>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</si>
  <si>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</si>
  <si>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</si>
  <si>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</si>
  <si>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</si>
  <si>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</si>
  <si>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</si>
  <si>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</si>
  <si>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</si>
  <si>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</si>
  <si>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</si>
  <si>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</si>
  <si>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</si>
  <si>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</si>
  <si>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</si>
  <si>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</si>
  <si>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</si>
  <si>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</si>
  <si>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</si>
  <si>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</si>
  <si>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</si>
  <si>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</si>
  <si>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</si>
  <si>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</si>
  <si>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</si>
  <si>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</si>
  <si>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</si>
  <si>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</si>
  <si>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</si>
  <si>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</si>
  <si>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</si>
  <si>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</si>
  <si>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</si>
  <si>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</si>
  <si>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</si>
  <si>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</si>
  <si>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</si>
  <si>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</si>
  <si>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</si>
  <si>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</si>
  <si>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</si>
  <si>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</si>
  <si>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</si>
  <si>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</si>
  <si>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</si>
  <si>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</si>
  <si>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</si>
  <si>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</si>
  <si>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</si>
  <si>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</si>
  <si>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</si>
  <si>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</si>
  <si>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</si>
  <si>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</si>
  <si>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</si>
  <si>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</si>
  <si>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</si>
  <si>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</si>
  <si>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</si>
  <si>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</si>
  <si>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</si>
  <si>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</si>
  <si>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</si>
  <si>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</si>
  <si>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</si>
  <si>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</si>
  <si>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</si>
  <si>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</si>
  <si>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</si>
  <si>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</si>
  <si>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</si>
  <si>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</si>
  <si>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</si>
  <si>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</si>
  <si>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</si>
  <si>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</si>
  <si>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</si>
  <si>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</si>
  <si>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</si>
  <si>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</si>
  <si>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</si>
  <si>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</si>
  <si>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</si>
  <si>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</si>
  <si>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</si>
  <si>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</si>
  <si>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</si>
  <si>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</si>
  <si>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</si>
  <si>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</si>
  <si>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</si>
  <si>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</si>
  <si>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</si>
  <si>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</si>
  <si>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</si>
  <si>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</si>
  <si>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</si>
  <si>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</si>
  <si>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</si>
  <si>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</si>
  <si>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</si>
  <si>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</si>
  <si>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</si>
  <si>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</si>
  <si>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</si>
  <si>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</si>
  <si>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</si>
  <si>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</si>
  <si>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</si>
  <si>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</si>
  <si>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</si>
  <si>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</si>
  <si>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</si>
  <si>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</si>
  <si>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</si>
  <si>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</si>
  <si>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</si>
  <si>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</si>
  <si>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</si>
  <si>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</si>
  <si>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</si>
  <si>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</si>
  <si>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</si>
  <si>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</si>
  <si>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</si>
  <si>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</si>
  <si>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</si>
  <si>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</si>
  <si>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</si>
  <si>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</si>
  <si>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</si>
  <si>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</si>
  <si>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</si>
  <si>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</si>
  <si>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</si>
  <si>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</si>
  <si>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</si>
  <si>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</si>
  <si>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</si>
  <si>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</si>
  <si>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</si>
  <si>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</si>
  <si>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</si>
  <si>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</si>
  <si>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</si>
  <si>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</si>
  <si>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</si>
  <si>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</si>
  <si>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</si>
  <si>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</si>
  <si>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</si>
  <si>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</si>
  <si>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</si>
  <si>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</si>
  <si>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</si>
  <si>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</si>
  <si>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</si>
  <si>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</si>
  <si>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</si>
  <si>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</si>
  <si>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</si>
  <si>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</si>
  <si>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</si>
  <si>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</si>
  <si>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</si>
  <si>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</si>
  <si>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</si>
  <si>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</si>
  <si>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</si>
  <si>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</si>
  <si>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</si>
  <si>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</si>
  <si>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</si>
  <si>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</si>
  <si>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</si>
  <si>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</si>
  <si>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</si>
  <si>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</si>
  <si>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</si>
  <si>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</si>
  <si>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</si>
  <si>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</si>
  <si>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</si>
  <si>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</si>
  <si>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</si>
  <si>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</si>
  <si>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</si>
  <si>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</si>
  <si>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</si>
  <si>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</si>
  <si>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</si>
  <si>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</si>
  <si>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</si>
  <si>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</si>
  <si>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</si>
  <si>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</si>
  <si>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</si>
  <si>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</si>
  <si>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</si>
  <si>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</si>
  <si>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</si>
  <si>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</si>
  <si>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</si>
  <si>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</si>
  <si>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</si>
  <si>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</si>
  <si>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</si>
  <si>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</si>
  <si>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</si>
  <si>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</si>
  <si>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</si>
  <si>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</si>
  <si>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</si>
  <si>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</si>
  <si>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</si>
  <si>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</si>
  <si>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</si>
  <si>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</si>
  <si>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</si>
  <si>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</si>
  <si>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</si>
  <si>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</si>
  <si>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</si>
  <si>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</si>
  <si>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</si>
  <si>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</si>
  <si>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</si>
  <si>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</si>
  <si>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</si>
  <si>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</si>
  <si>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</si>
  <si>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</si>
  <si>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</si>
  <si>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</si>
  <si>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</si>
  <si>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</si>
  <si>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</si>
  <si>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</si>
  <si>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</si>
  <si>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</si>
  <si>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</si>
  <si>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</si>
  <si>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</si>
  <si>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</si>
  <si>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</si>
  <si>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</si>
  <si>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</si>
  <si>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</si>
  <si>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</si>
  <si>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</si>
  <si>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</si>
  <si>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</si>
  <si>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</si>
  <si>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</si>
  <si>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</si>
  <si>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</si>
  <si>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</si>
  <si>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</si>
  <si>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</si>
  <si>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</si>
  <si>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</si>
  <si>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</si>
  <si>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pts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</si>
  <si>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</si>
  <si>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</si>
  <si>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</si>
  <si>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</si>
  <si>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</si>
  <si>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</si>
  <si>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</si>
  <si>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</si>
  <si>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</si>
  <si>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</si>
  <si>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</si>
  <si>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</si>
  <si>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</si>
  <si>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</si>
  <si>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開始順位 / Starting rank</t>
    <rPh sb="0" eb="2">
      <t>カイシ</t>
    </rPh>
    <rPh sb="2" eb="4">
      <t>ジュンイ</t>
    </rPh>
    <phoneticPr fontId="1"/>
  </si>
  <si>
    <t>順位 / Rank</t>
    <rPh sb="0" eb="2">
      <t>ジュンイ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</si>
  <si>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</si>
  <si>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</si>
  <si>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</si>
  <si>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</si>
  <si>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</si>
  <si>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</si>
  <si>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</si>
  <si>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</si>
  <si>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</si>
  <si>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</si>
  <si>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</si>
  <si>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</si>
  <si>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</si>
  <si>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</si>
  <si>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</si>
  <si>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</si>
  <si>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</si>
  <si>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</si>
  <si>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</si>
  <si>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</si>
  <si>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</si>
  <si>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</si>
  <si>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コースを選択</t>
    <phoneticPr fontId="1"/>
  </si>
  <si>
    <t>模擬tier / Match tier</t>
  </si>
  <si>
    <t>形式 / 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</si>
</sst>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 "/>
    <numFmt numFmtId="179" formatCode="00000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7" xfId="0" applyFont="1" applyFill="1" applyBorder="1" applyAlignment="1">
      <alignment horizontal="center" vertical="center" shrinkToFit="1"/>
    </xf>
    <xf numFmtId="0" fontId="0" fillId="2" borderId="7" xfId="0" applyFill="1" applyBorder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12" xfId="0" applyFont="1" applyFill="1" applyBorder="1" applyAlignment="1" applyProtection="1">
      <alignment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178" fontId="0" fillId="0" borderId="0" xfId="0" applyNumberFormat="1" applyFill="1">
      <alignment vertical="center"/>
    </xf>
    <xf numFmtId="176" fontId="0" fillId="0" borderId="0" xfId="0" applyNumberFormat="1" applyFill="1" applyAlignment="1">
      <alignment horizontal="left" vertical="center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right" vertical="center" shrinkToFit="1"/>
    </xf>
    <xf numFmtId="0" fontId="0" fillId="0" borderId="2" xfId="0" applyBorder="1" applyAlignment="1">
      <alignment horizontal="right" vertical="center" shrinkToFit="1"/>
    </xf>
    <xf numFmtId="0" fontId="0" fillId="0" borderId="2" xfId="0" applyBorder="1" applyAlignment="1">
      <alignment horizontal="right" vertical="center"/>
    </xf>
  </cellXfs>
  <cellStyles count="1">
    <cellStyle name="標準" xfId="0" builtinId="0"/>
  </cellStyles>
  <dxfs count="21"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7" formatCode="0.0_ "/>
    </dxf>
    <dxf>
      <numFmt numFmtId="177" formatCode="0.0_ "/>
    </dxf>
    <dxf>
      <numFmt numFmtId="177" formatCode="0.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8" formatCode="0_ "/>
    </dxf>
    <dxf>
      <numFmt numFmtId="178" formatCode="0_ "/>
    </dxf>
    <dxf>
      <numFmt numFmtId="19" formatCode="yyyy/m/d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38100</xdr:rowOff>
        </xdr:from>
        <xdr:to>
          <xdr:col>3</xdr:col>
          <xdr:colOff>1339850</xdr:colOff>
          <xdr:row>2</xdr:row>
          <xdr:rowOff>101600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165100</xdr:rowOff>
        </xdr:from>
        <xdr:to>
          <xdr:col>3</xdr:col>
          <xdr:colOff>1339850</xdr:colOff>
          <xdr:row>3</xdr:row>
          <xdr:rowOff>228600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18</xdr:row>
          <xdr:rowOff>139700</xdr:rowOff>
        </xdr:from>
        <xdr:to>
          <xdr:col>3</xdr:col>
          <xdr:colOff>1346200</xdr:colOff>
          <xdr:row>20</xdr:row>
          <xdr:rowOff>38100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1416050</xdr:colOff>
          <xdr:row>18</xdr:row>
          <xdr:rowOff>139700</xdr:rowOff>
        </xdr:from>
        <xdr:to>
          <xdr:col>2</xdr:col>
          <xdr:colOff>647700</xdr:colOff>
          <xdr:row>20</xdr:row>
          <xdr:rowOff>31750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10</xdr:col>
          <xdr:colOff>298450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285750</xdr:colOff>
          <xdr:row>0</xdr:row>
          <xdr:rowOff>76200</xdr:rowOff>
        </xdr:from>
        <xdr:to>
          <xdr:col>3</xdr:col>
          <xdr:colOff>1555750</xdr:colOff>
          <xdr:row>2</xdr:row>
          <xdr:rowOff>228600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054.037939004629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3">
        <m/>
        <s v="others" u="1"/>
        <s v="tier-D" u="1"/>
      </sharedItems>
    </cacheField>
    <cacheField name="format" numFmtId="0">
      <sharedItems containsNonDate="0" containsBlank="1" count="2">
        <m/>
        <s v="2v2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44">
        <m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ウォーターパーク" u="1"/>
        <s v="Wii グラグラかざん" u="1"/>
        <s v="SFC ドーナツへいや3" u="1"/>
        <s v="Tour シドニーサンシャイン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マリオカートスタジアム" u="1"/>
        <s v="GBA マリオサーキット" u="1"/>
        <s v="Tour トーキョースクランブル" u="1"/>
        <s v="ワリオスノーマウンテン" u="1"/>
        <s v="ホネホネさばく" u="1"/>
        <s v="N64 レインボーロード" u="1"/>
        <s v="3DS ロックロックマウンテン" u="1"/>
        <s v="Tour シンガポールスプラッシュ" u="1"/>
        <s v="ツルツルツイスター" u="1"/>
        <s v="3DS ミュージックパーク" u="1"/>
        <s v="Tour バンコクラッシュ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1" maxValue="12" count="13">
        <m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86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4">
        <item m="1" x="1"/>
        <item m="1" x="2"/>
        <item x="0"/>
        <item t="default"/>
      </items>
    </pivotField>
    <pivotField name="形式 / Format" axis="axisPage" showAll="0">
      <items count="3">
        <item m="1" x="1"/>
        <item x="0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45">
        <item m="1" x="18"/>
        <item m="1" x="7"/>
        <item m="1" x="30"/>
        <item m="1" x="13"/>
        <item m="1" x="20"/>
        <item m="1" x="10"/>
        <item m="1" x="39"/>
        <item m="1" x="31"/>
        <item m="1" x="5"/>
        <item m="1" x="38"/>
        <item m="1" x="19"/>
        <item m="1" x="35"/>
        <item m="1" x="33"/>
        <item m="1" x="32"/>
        <item m="1" x="9"/>
        <item m="1" x="1"/>
        <item m="1" x="27"/>
        <item m="1" x="8"/>
        <item m="1" x="26"/>
        <item m="1" x="2"/>
        <item m="1" x="29"/>
        <item m="1" x="34"/>
        <item m="1" x="42"/>
        <item m="1" x="16"/>
        <item m="1" x="43"/>
        <item m="1" x="37"/>
        <item m="1" x="23"/>
        <item m="1" x="40"/>
        <item m="1" x="25"/>
        <item m="1" x="14"/>
        <item x="0"/>
        <item m="1" x="4"/>
        <item m="1" x="17"/>
        <item m="1" x="28"/>
        <item m="1" x="22"/>
        <item m="1" x="15"/>
        <item m="1" x="36"/>
        <item m="1" x="3"/>
        <item m="1" x="21"/>
        <item m="1" x="11"/>
        <item m="1" x="24"/>
        <item m="1" x="6"/>
        <item m="1" x="12"/>
        <item m="1" x="4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ame="スタート順位 / Starting rank" axis="axisPage" showAll="0">
      <items count="14">
        <item m="1" x="5"/>
        <item m="1" x="2"/>
        <item m="1" x="11"/>
        <item m="1" x="1"/>
        <item m="1" x="3"/>
        <item m="1" x="7"/>
        <item m="1" x="9"/>
        <item m="1" x="10"/>
        <item m="1" x="12"/>
        <item m="1" x="6"/>
        <item m="1" x="4"/>
        <item m="1" x="8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0">
      <pivotArea type="all" dataOnly="0" outline="0" fieldPosition="0"/>
    </format>
    <format dxfId="1">
      <pivotArea outline="0" collapsedLevelsAreSubtotals="1" fieldPosition="0"/>
    </format>
    <format dxfId="2">
      <pivotArea type="origin" dataOnly="0" labelOnly="1" outline="0" fieldPosition="0"/>
    </format>
    <format dxfId="3">
      <pivotArea field="7" type="button" dataOnly="0" labelOnly="1" outline="0" axis="axisPage" fieldPosition="2"/>
    </format>
    <format dxfId="4">
      <pivotArea type="topRight" dataOnly="0" labelOnly="1" outline="0" fieldPosition="0"/>
    </format>
    <format dxfId="5">
      <pivotArea field="5" type="button" dataOnly="0" labelOnly="1" outline="0" axis="axisRow" fieldPosition="0"/>
    </format>
    <format dxfId="6">
      <pivotArea dataOnly="0" labelOnly="1" grandRow="1" outline="0" fieldPosition="0"/>
    </format>
    <format dxfId="7">
      <pivotArea dataOnly="0" labelOnly="1" grandCol="1" outline="0" fieldPosition="0"/>
    </format>
    <format dxfId="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">
      <pivotArea type="all" dataOnly="0" outline="0" fieldPosition="0"/>
    </format>
    <format dxfId="12">
      <pivotArea outline="0" collapsedLevelsAreSubtotals="1" fieldPosition="0"/>
    </format>
    <format dxfId="13">
      <pivotArea field="5" type="button" dataOnly="0" labelOnly="1" outline="0" axis="axisRow" fieldPosition="0"/>
    </format>
    <format dxfId="14">
      <pivotArea dataOnly="0" labelOnly="1" grandRow="1" outline="0" fieldPosition="0"/>
    </format>
    <format dxfId="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19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insertRow="1" totalsRowShown="0" headerRowDxfId="20">
  <autoFilter ref="A1:K2" xr:uid="{345AFA44-543A-4814-B27E-EDB62A582CCD}"/>
  <tableColumns count="11">
    <tableColumn id="1" xr3:uid="{F751EC9B-401A-410E-A20D-A6E465EC5469}" name="registKey" dataDxfId="19"/>
    <tableColumn id="2" xr3:uid="{074A40CA-00D3-455C-B2E2-DC85C6B33144}" name="date" dataDxfId="18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12" Type="http://schemas.openxmlformats.org/officeDocument/2006/relationships/control" Target="../activeX/activeX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E18"/>
  <sheetViews>
    <sheetView tabSelected="1" workbookViewId="0">
      <selection sqref="A1:D1"/>
    </sheetView>
  </sheetViews>
  <sheetFormatPr defaultColWidth="8.6640625" defaultRowHeight="18" x14ac:dyDescent="0.55000000000000004"/>
  <cols>
    <col min="1" max="1" width="5.08203125" style="10" customWidth="1"/>
    <col min="2" max="2" width="30.08203125" style="17" customWidth="1"/>
    <col min="3" max="3" width="10.83203125" style="10" customWidth="1"/>
    <col min="4" max="4" width="18.33203125" style="10" customWidth="1"/>
    <col min="5" max="5" width="8.6640625" style="9" hidden="1" customWidth="1"/>
    <col min="6" max="16384" width="8.6640625" style="10"/>
  </cols>
  <sheetData>
    <row r="1" spans="1:5" ht="22.5" x14ac:dyDescent="0.55000000000000004">
      <c r="A1" s="52" t="s">
        <v>419</v>
      </c>
      <c r="B1" s="52"/>
      <c r="C1" s="52"/>
      <c r="D1" s="52"/>
    </row>
    <row r="2" spans="1:5" ht="22.5" x14ac:dyDescent="0.55000000000000004">
      <c r="A2" s="25" t="s">
        <v>396</v>
      </c>
      <c r="B2" s="26" t="s">
        <v>406</v>
      </c>
      <c r="C2" s="34" t="s">
        <v>417</v>
      </c>
      <c r="D2" s="11"/>
    </row>
    <row r="3" spans="1:5" ht="22.5" x14ac:dyDescent="0.55000000000000004">
      <c r="A3" s="27"/>
      <c r="B3" s="28" t="s">
        <v>407</v>
      </c>
      <c r="C3" s="35" t="s">
        <v>417</v>
      </c>
      <c r="D3" s="12"/>
    </row>
    <row r="4" spans="1:5" ht="20" customHeight="1" x14ac:dyDescent="0.55000000000000004">
      <c r="A4" s="29"/>
      <c r="B4" s="30" t="s">
        <v>409</v>
      </c>
      <c r="C4" s="36"/>
      <c r="D4" s="13"/>
    </row>
    <row r="5" spans="1:5" s="15" customFormat="1" ht="20" customHeight="1" x14ac:dyDescent="0.55000000000000004">
      <c r="A5" s="31"/>
      <c r="B5" s="32" t="s">
        <v>408</v>
      </c>
      <c r="C5" s="33" t="s">
        <v>410</v>
      </c>
      <c r="D5" s="33" t="s">
        <v>431</v>
      </c>
      <c r="E5" s="14"/>
    </row>
    <row r="6" spans="1:5" ht="20" customHeight="1" x14ac:dyDescent="0.55000000000000004">
      <c r="A6" s="16">
        <v>1</v>
      </c>
      <c r="B6" s="37" t="s">
        <v>433</v>
      </c>
      <c r="C6" s="38"/>
      <c r="D6" s="39"/>
      <c r="E6" s="9">
        <f>IF(C6="",0,IF(C6=1,15,IF(C6=2,12,13-C6)))</f>
        <v>0</v>
      </c>
    </row>
    <row r="7" spans="1:5" ht="20" customHeight="1" x14ac:dyDescent="0.55000000000000004">
      <c r="A7" s="18">
        <v>2</v>
      </c>
      <c r="B7" s="40" t="s">
        <v>418</v>
      </c>
      <c r="C7" s="41"/>
      <c r="D7" s="41"/>
      <c r="E7" s="9">
        <f t="shared" ref="E7:E17" si="0">IF(C7="",0,IF(C7=1,15,IF(C7=2,12,13-C7)))</f>
        <v>0</v>
      </c>
    </row>
    <row r="8" spans="1:5" ht="20" customHeight="1" x14ac:dyDescent="0.55000000000000004">
      <c r="A8" s="19">
        <v>3</v>
      </c>
      <c r="B8" s="37" t="s">
        <v>418</v>
      </c>
      <c r="C8" s="39"/>
      <c r="D8" s="39"/>
      <c r="E8" s="9">
        <f t="shared" si="0"/>
        <v>0</v>
      </c>
    </row>
    <row r="9" spans="1:5" ht="20" customHeight="1" x14ac:dyDescent="0.55000000000000004">
      <c r="A9" s="18">
        <v>4</v>
      </c>
      <c r="B9" s="40" t="s">
        <v>418</v>
      </c>
      <c r="C9" s="41"/>
      <c r="D9" s="41"/>
      <c r="E9" s="9">
        <f t="shared" si="0"/>
        <v>0</v>
      </c>
    </row>
    <row r="10" spans="1:5" ht="20" customHeight="1" x14ac:dyDescent="0.55000000000000004">
      <c r="A10" s="19">
        <v>5</v>
      </c>
      <c r="B10" s="37" t="s">
        <v>418</v>
      </c>
      <c r="C10" s="39"/>
      <c r="D10" s="39"/>
      <c r="E10" s="9">
        <f t="shared" si="0"/>
        <v>0</v>
      </c>
    </row>
    <row r="11" spans="1:5" ht="20" customHeight="1" x14ac:dyDescent="0.55000000000000004">
      <c r="A11" s="18">
        <v>6</v>
      </c>
      <c r="B11" s="40" t="s">
        <v>418</v>
      </c>
      <c r="C11" s="41"/>
      <c r="D11" s="41"/>
      <c r="E11" s="9">
        <f t="shared" si="0"/>
        <v>0</v>
      </c>
    </row>
    <row r="12" spans="1:5" ht="20" customHeight="1" x14ac:dyDescent="0.55000000000000004">
      <c r="A12" s="19">
        <v>7</v>
      </c>
      <c r="B12" s="37" t="s">
        <v>418</v>
      </c>
      <c r="C12" s="39"/>
      <c r="D12" s="39"/>
      <c r="E12" s="9">
        <f t="shared" si="0"/>
        <v>0</v>
      </c>
    </row>
    <row r="13" spans="1:5" ht="20" customHeight="1" x14ac:dyDescent="0.55000000000000004">
      <c r="A13" s="18">
        <v>8</v>
      </c>
      <c r="B13" s="40" t="s">
        <v>418</v>
      </c>
      <c r="C13" s="41"/>
      <c r="D13" s="41"/>
      <c r="E13" s="9">
        <f t="shared" si="0"/>
        <v>0</v>
      </c>
    </row>
    <row r="14" spans="1:5" ht="20" customHeight="1" x14ac:dyDescent="0.55000000000000004">
      <c r="A14" s="19">
        <v>9</v>
      </c>
      <c r="B14" s="37" t="s">
        <v>418</v>
      </c>
      <c r="C14" s="39"/>
      <c r="D14" s="39"/>
      <c r="E14" s="9">
        <f t="shared" si="0"/>
        <v>0</v>
      </c>
    </row>
    <row r="15" spans="1:5" ht="20" customHeight="1" x14ac:dyDescent="0.55000000000000004">
      <c r="A15" s="18">
        <v>10</v>
      </c>
      <c r="B15" s="40" t="s">
        <v>418</v>
      </c>
      <c r="C15" s="41"/>
      <c r="D15" s="41"/>
      <c r="E15" s="9">
        <f t="shared" si="0"/>
        <v>0</v>
      </c>
    </row>
    <row r="16" spans="1:5" ht="20" customHeight="1" x14ac:dyDescent="0.55000000000000004">
      <c r="A16" s="19">
        <v>11</v>
      </c>
      <c r="B16" s="37" t="s">
        <v>418</v>
      </c>
      <c r="C16" s="39"/>
      <c r="D16" s="39"/>
      <c r="E16" s="9">
        <f t="shared" si="0"/>
        <v>0</v>
      </c>
    </row>
    <row r="17" spans="1:5" ht="20" customHeight="1" x14ac:dyDescent="0.55000000000000004">
      <c r="A17" s="20">
        <v>12</v>
      </c>
      <c r="B17" s="42" t="s">
        <v>418</v>
      </c>
      <c r="C17" s="43"/>
      <c r="D17" s="43"/>
      <c r="E17" s="9">
        <f t="shared" si="0"/>
        <v>0</v>
      </c>
    </row>
    <row r="18" spans="1:5" ht="20" customHeight="1" x14ac:dyDescent="0.55000000000000004">
      <c r="A18" s="21"/>
      <c r="B18" s="22" t="s">
        <v>395</v>
      </c>
      <c r="C18" s="23">
        <f>SUM(E6:E17)</f>
        <v>0</v>
      </c>
      <c r="D18" s="24" t="s">
        <v>394</v>
      </c>
    </row>
  </sheetData>
  <sheetProtection algorithmName="SHA-512" hashValue="SmACH3+HaUgn0cqvVQaS+USw2/c4a0TDnWJQxhHXMY4h8APNhId21pMTlsmoUwD30h6PXnZ6YmKhd90rjjooRw==" saltValue="SE26e78nSbL+b317n7U1BQ==" spinCount="100000" sheet="1" selectLockedCells="1"/>
  <mergeCells count="1">
    <mergeCell ref="A1:D1"/>
  </mergeCells>
  <phoneticPr fontId="1"/>
  <dataValidations count="1">
    <dataValidation type="whole" allowBlank="1" showInputMessage="1" showErrorMessage="1" sqref="C6:C17 C4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RegistDataBtn">
          <controlPr defaultSize="0" autoLine="0" r:id="rId5">
            <anchor moveWithCells="1">
              <from>
                <xdr:col>3</xdr:col>
                <xdr:colOff>76200</xdr:colOff>
                <xdr:row>1</xdr:row>
                <xdr:rowOff>38100</xdr:rowOff>
              </from>
              <to>
                <xdr:col>3</xdr:col>
                <xdr:colOff>1339850</xdr:colOff>
                <xdr:row>2</xdr:row>
                <xdr:rowOff>101600</xdr:rowOff>
              </to>
            </anchor>
          </controlPr>
        </control>
      </mc:Choice>
      <mc:Fallback>
        <control shapeId="4099" r:id="rId4" name="RegistDataBtn"/>
      </mc:Fallback>
    </mc:AlternateContent>
    <mc:AlternateContent xmlns:mc="http://schemas.openxmlformats.org/markup-compatibility/2006">
      <mc:Choice Requires="x14">
        <control shapeId="4103" r:id="rId6" name="ResetBtn">
          <controlPr defaultSize="0" autoLine="0" r:id="rId7">
            <anchor moveWithCells="1">
              <from>
                <xdr:col>3</xdr:col>
                <xdr:colOff>76200</xdr:colOff>
                <xdr:row>2</xdr:row>
                <xdr:rowOff>165100</xdr:rowOff>
              </from>
              <to>
                <xdr:col>3</xdr:col>
                <xdr:colOff>1339850</xdr:colOff>
                <xdr:row>3</xdr:row>
                <xdr:rowOff>228600</xdr:rowOff>
              </to>
            </anchor>
          </controlPr>
        </control>
      </mc:Choice>
      <mc:Fallback>
        <control shapeId="4103" r:id="rId6" name="Reset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2</xdr:col>
                <xdr:colOff>647700</xdr:colOff>
                <xdr:row>18</xdr:row>
                <xdr:rowOff>139700</xdr:rowOff>
              </from>
              <to>
                <xdr:col>3</xdr:col>
                <xdr:colOff>1346200</xdr:colOff>
                <xdr:row>20</xdr:row>
                <xdr:rowOff>38100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5" r:id="rId10" name="GoToGraphBtn">
          <controlPr defaultSize="0" autoLine="0" r:id="rId11">
            <anchor moveWithCells="1">
              <from>
                <xdr:col>1</xdr:col>
                <xdr:colOff>1416050</xdr:colOff>
                <xdr:row>18</xdr:row>
                <xdr:rowOff>139700</xdr:rowOff>
              </from>
              <to>
                <xdr:col>2</xdr:col>
                <xdr:colOff>647700</xdr:colOff>
                <xdr:row>20</xdr:row>
                <xdr:rowOff>31750</xdr:rowOff>
              </to>
            </anchor>
          </controlPr>
        </control>
      </mc:Choice>
      <mc:Fallback>
        <control shapeId="4105" r:id="rId10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B6:B17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48" bestFit="1" customWidth="1"/>
    <col min="2" max="2" width="11.25" style="49" bestFit="1" customWidth="1"/>
    <col min="3" max="3" width="9.75" style="49" bestFit="1" customWidth="1"/>
    <col min="4" max="4" width="12.5" style="50" bestFit="1" customWidth="1"/>
    <col min="5" max="5" width="19.6640625" style="48" bestFit="1" customWidth="1"/>
    <col min="6" max="7" width="5.58203125" style="48" bestFit="1" customWidth="1"/>
    <col min="8" max="9" width="6.6640625" style="48" bestFit="1" customWidth="1"/>
    <col min="10" max="10" width="6.5" style="48" bestFit="1" customWidth="1"/>
    <col min="11" max="13" width="5.58203125" style="48" bestFit="1" customWidth="1"/>
    <col min="14" max="14" width="6.1640625" style="48" bestFit="1" customWidth="1"/>
    <col min="15" max="15" width="17.1640625" style="48" bestFit="1" customWidth="1"/>
    <col min="16" max="16" width="17.25" style="48" bestFit="1" customWidth="1"/>
    <col min="17" max="17" width="17.1640625" style="48" bestFit="1" customWidth="1"/>
    <col min="18" max="18" width="17.25" style="48" bestFit="1" customWidth="1"/>
    <col min="19" max="19" width="17.1640625" style="48" bestFit="1" customWidth="1"/>
    <col min="20" max="20" width="17.25" style="48" bestFit="1" customWidth="1"/>
    <col min="21" max="21" width="17.1640625" style="48" bestFit="1" customWidth="1"/>
    <col min="22" max="22" width="17.25" style="48" bestFit="1" customWidth="1"/>
    <col min="23" max="23" width="17.1640625" style="48" bestFit="1" customWidth="1"/>
    <col min="24" max="24" width="17.25" style="48" bestFit="1" customWidth="1"/>
    <col min="25" max="25" width="17.1640625" style="48" bestFit="1" customWidth="1"/>
    <col min="26" max="26" width="23.6640625" style="48" bestFit="1" customWidth="1"/>
    <col min="27" max="27" width="23.58203125" style="48" bestFit="1" customWidth="1"/>
    <col min="28" max="16384" width="8.6640625" style="48"/>
  </cols>
  <sheetData>
    <row r="1" spans="1:14" x14ac:dyDescent="0.55000000000000004">
      <c r="A1" s="54" t="s">
        <v>434</v>
      </c>
      <c r="B1" s="54" t="s">
        <v>427</v>
      </c>
    </row>
    <row r="2" spans="1:14" x14ac:dyDescent="0.55000000000000004">
      <c r="A2" s="54" t="s">
        <v>435</v>
      </c>
      <c r="B2" s="54" t="s">
        <v>427</v>
      </c>
    </row>
    <row r="3" spans="1:14" x14ac:dyDescent="0.55000000000000004">
      <c r="A3" s="54" t="s">
        <v>428</v>
      </c>
      <c r="B3" s="55" t="s">
        <v>427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54" t="s">
        <v>430</v>
      </c>
      <c r="B4" s="54" t="s">
        <v>427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54" t="s">
        <v>423</v>
      </c>
      <c r="B6" s="55" t="s">
        <v>426</v>
      </c>
      <c r="C6" s="55" t="s">
        <v>425</v>
      </c>
      <c r="D6" s="56" t="s">
        <v>429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57" t="s">
        <v>424</v>
      </c>
      <c r="B7" s="55"/>
      <c r="C7" s="55"/>
      <c r="D7" s="56"/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2" r:id="rId5" name="GoToDataBtn">
          <controlPr defaultSize="0" autoLine="0" r:id="rId6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10</xdr:col>
                <xdr:colOff>298450</xdr:colOff>
                <xdr:row>1</xdr:row>
                <xdr:rowOff>127000</xdr:rowOff>
              </to>
            </anchor>
          </controlPr>
        </control>
      </mc:Choice>
      <mc:Fallback>
        <control shapeId="7172" r:id="rId5" name="GoToDataBtn"/>
      </mc:Fallback>
    </mc:AlternateContent>
    <mc:AlternateContent xmlns:mc="http://schemas.openxmlformats.org/markup-compatibility/2006">
      <mc:Choice Requires="x14">
        <control shapeId="7170" r:id="rId7" name="GoToRegistDataBtn">
          <controlPr defaultSize="0" autoLine="0" r:id="rId8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7" name="GoToRegistData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33"/>
  <sheetViews>
    <sheetView zoomScale="80" zoomScaleNormal="80" workbookViewId="0">
      <pane ySplit="1" topLeftCell="A2" activePane="bottomLeft" state="frozen"/>
      <selection sqref="A1:C1"/>
      <selection pane="bottomLeft"/>
    </sheetView>
  </sheetViews>
  <sheetFormatPr defaultRowHeight="18" x14ac:dyDescent="0.55000000000000004"/>
  <cols>
    <col min="1" max="1" width="13.25" style="47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45" customFormat="1" ht="32.5" customHeight="1" x14ac:dyDescent="0.55000000000000004">
      <c r="A1" s="46" t="s">
        <v>411</v>
      </c>
      <c r="B1" s="45" t="s">
        <v>412</v>
      </c>
      <c r="C1" s="45" t="s">
        <v>413</v>
      </c>
      <c r="D1" s="45" t="s">
        <v>414</v>
      </c>
      <c r="E1" s="45" t="s">
        <v>97</v>
      </c>
      <c r="F1" s="45" t="s">
        <v>226</v>
      </c>
      <c r="G1" s="45" t="s">
        <v>227</v>
      </c>
      <c r="H1" s="45" t="s">
        <v>415</v>
      </c>
      <c r="I1" s="45" t="s">
        <v>421</v>
      </c>
      <c r="J1" s="45" t="s">
        <v>422</v>
      </c>
      <c r="K1" s="45" t="s">
        <v>416</v>
      </c>
    </row>
    <row r="2" spans="1:11" x14ac:dyDescent="0.55000000000000004">
      <c r="B2" s="51"/>
    </row>
    <row r="3" spans="1:11" x14ac:dyDescent="0.55000000000000004">
      <c r="B3" s="51"/>
    </row>
    <row r="4" spans="1:11" x14ac:dyDescent="0.55000000000000004">
      <c r="B4" s="51"/>
    </row>
    <row r="5" spans="1:11" x14ac:dyDescent="0.55000000000000004">
      <c r="B5" s="51"/>
    </row>
    <row r="6" spans="1:11" x14ac:dyDescent="0.55000000000000004">
      <c r="B6" s="51"/>
    </row>
    <row r="7" spans="1:11" x14ac:dyDescent="0.55000000000000004">
      <c r="B7" s="51"/>
    </row>
    <row r="8" spans="1:11" x14ac:dyDescent="0.55000000000000004">
      <c r="B8" s="51"/>
    </row>
    <row r="9" spans="1:11" x14ac:dyDescent="0.55000000000000004">
      <c r="B9" s="51"/>
    </row>
    <row r="10" spans="1:11" x14ac:dyDescent="0.55000000000000004">
      <c r="B10" s="51"/>
    </row>
    <row r="11" spans="1:11" x14ac:dyDescent="0.55000000000000004">
      <c r="B11" s="51"/>
    </row>
    <row r="12" spans="1:11" x14ac:dyDescent="0.55000000000000004">
      <c r="B12" s="51"/>
    </row>
    <row r="13" spans="1:11" x14ac:dyDescent="0.55000000000000004">
      <c r="B13" s="51"/>
    </row>
    <row r="14" spans="1:11" x14ac:dyDescent="0.55000000000000004">
      <c r="B14" s="51"/>
    </row>
    <row r="15" spans="1:11" x14ac:dyDescent="0.55000000000000004">
      <c r="B15" s="51"/>
    </row>
    <row r="16" spans="1:11" x14ac:dyDescent="0.55000000000000004">
      <c r="B16" s="51"/>
    </row>
    <row r="17" spans="2:2" x14ac:dyDescent="0.55000000000000004">
      <c r="B17" s="51"/>
    </row>
    <row r="18" spans="2:2" x14ac:dyDescent="0.55000000000000004">
      <c r="B18" s="51"/>
    </row>
    <row r="19" spans="2:2" x14ac:dyDescent="0.55000000000000004">
      <c r="B19" s="51"/>
    </row>
    <row r="20" spans="2:2" x14ac:dyDescent="0.55000000000000004">
      <c r="B20" s="51"/>
    </row>
    <row r="21" spans="2:2" x14ac:dyDescent="0.55000000000000004">
      <c r="B21" s="51"/>
    </row>
    <row r="22" spans="2:2" x14ac:dyDescent="0.55000000000000004">
      <c r="B22" s="51"/>
    </row>
    <row r="23" spans="2:2" x14ac:dyDescent="0.55000000000000004">
      <c r="B23" s="51"/>
    </row>
    <row r="24" spans="2:2" x14ac:dyDescent="0.55000000000000004">
      <c r="B24" s="51"/>
    </row>
    <row r="25" spans="2:2" x14ac:dyDescent="0.55000000000000004">
      <c r="B25" s="51"/>
    </row>
    <row r="26" spans="2:2" x14ac:dyDescent="0.55000000000000004">
      <c r="B26" s="51"/>
    </row>
    <row r="27" spans="2:2" x14ac:dyDescent="0.55000000000000004">
      <c r="B27" s="51"/>
    </row>
    <row r="28" spans="2:2" x14ac:dyDescent="0.55000000000000004">
      <c r="B28" s="51"/>
    </row>
    <row r="29" spans="2:2" x14ac:dyDescent="0.55000000000000004">
      <c r="B29" s="51"/>
    </row>
    <row r="30" spans="2:2" x14ac:dyDescent="0.55000000000000004">
      <c r="B30" s="51"/>
    </row>
    <row r="31" spans="2:2" x14ac:dyDescent="0.55000000000000004">
      <c r="B31" s="51"/>
    </row>
    <row r="32" spans="2:2" x14ac:dyDescent="0.55000000000000004">
      <c r="B32" s="51"/>
    </row>
    <row r="33" spans="2:2" x14ac:dyDescent="0.55000000000000004">
      <c r="B33" s="51"/>
    </row>
    <row r="34" spans="2:2" x14ac:dyDescent="0.55000000000000004">
      <c r="B34" s="51"/>
    </row>
    <row r="35" spans="2:2" x14ac:dyDescent="0.55000000000000004">
      <c r="B35" s="51"/>
    </row>
    <row r="36" spans="2:2" x14ac:dyDescent="0.55000000000000004">
      <c r="B36" s="51"/>
    </row>
    <row r="37" spans="2:2" x14ac:dyDescent="0.55000000000000004">
      <c r="B37" s="51"/>
    </row>
    <row r="38" spans="2:2" x14ac:dyDescent="0.55000000000000004">
      <c r="B38" s="51"/>
    </row>
    <row r="39" spans="2:2" x14ac:dyDescent="0.55000000000000004">
      <c r="B39" s="51"/>
    </row>
    <row r="40" spans="2:2" x14ac:dyDescent="0.55000000000000004">
      <c r="B40" s="51"/>
    </row>
    <row r="41" spans="2:2" x14ac:dyDescent="0.55000000000000004">
      <c r="B41" s="51"/>
    </row>
    <row r="42" spans="2:2" x14ac:dyDescent="0.55000000000000004">
      <c r="B42" s="51"/>
    </row>
    <row r="43" spans="2:2" x14ac:dyDescent="0.55000000000000004">
      <c r="B43" s="51"/>
    </row>
    <row r="44" spans="2:2" x14ac:dyDescent="0.55000000000000004">
      <c r="B44" s="51"/>
    </row>
    <row r="45" spans="2:2" x14ac:dyDescent="0.55000000000000004">
      <c r="B45" s="51"/>
    </row>
    <row r="46" spans="2:2" x14ac:dyDescent="0.55000000000000004">
      <c r="B46" s="51"/>
    </row>
    <row r="47" spans="2:2" x14ac:dyDescent="0.55000000000000004">
      <c r="B47" s="51"/>
    </row>
    <row r="48" spans="2:2" x14ac:dyDescent="0.55000000000000004">
      <c r="B48" s="51"/>
    </row>
    <row r="49" spans="2:2" x14ac:dyDescent="0.55000000000000004">
      <c r="B49" s="51"/>
    </row>
    <row r="50" spans="2:2" x14ac:dyDescent="0.55000000000000004">
      <c r="B50" s="51"/>
    </row>
    <row r="51" spans="2:2" x14ac:dyDescent="0.55000000000000004">
      <c r="B51" s="51"/>
    </row>
    <row r="52" spans="2:2" x14ac:dyDescent="0.55000000000000004">
      <c r="B52" s="51"/>
    </row>
    <row r="53" spans="2:2" x14ac:dyDescent="0.55000000000000004">
      <c r="B53" s="51"/>
    </row>
    <row r="54" spans="2:2" x14ac:dyDescent="0.55000000000000004">
      <c r="B54" s="51"/>
    </row>
    <row r="55" spans="2:2" x14ac:dyDescent="0.55000000000000004">
      <c r="B55" s="51"/>
    </row>
    <row r="56" spans="2:2" x14ac:dyDescent="0.55000000000000004">
      <c r="B56" s="51"/>
    </row>
    <row r="57" spans="2:2" x14ac:dyDescent="0.55000000000000004">
      <c r="B57" s="51"/>
    </row>
    <row r="58" spans="2:2" x14ac:dyDescent="0.55000000000000004">
      <c r="B58" s="51"/>
    </row>
    <row r="59" spans="2:2" x14ac:dyDescent="0.55000000000000004">
      <c r="B59" s="51"/>
    </row>
    <row r="60" spans="2:2" x14ac:dyDescent="0.55000000000000004">
      <c r="B60" s="51"/>
    </row>
    <row r="61" spans="2:2" x14ac:dyDescent="0.55000000000000004">
      <c r="B61" s="51"/>
    </row>
    <row r="62" spans="2:2" x14ac:dyDescent="0.55000000000000004">
      <c r="B62" s="51"/>
    </row>
    <row r="63" spans="2:2" x14ac:dyDescent="0.55000000000000004">
      <c r="B63" s="51"/>
    </row>
    <row r="64" spans="2:2" x14ac:dyDescent="0.55000000000000004">
      <c r="B64" s="51"/>
    </row>
    <row r="65" spans="2:2" x14ac:dyDescent="0.55000000000000004">
      <c r="B65" s="51"/>
    </row>
    <row r="66" spans="2:2" x14ac:dyDescent="0.55000000000000004">
      <c r="B66" s="51"/>
    </row>
    <row r="67" spans="2:2" x14ac:dyDescent="0.55000000000000004">
      <c r="B67" s="51"/>
    </row>
    <row r="68" spans="2:2" x14ac:dyDescent="0.55000000000000004">
      <c r="B68" s="51"/>
    </row>
    <row r="69" spans="2:2" x14ac:dyDescent="0.55000000000000004">
      <c r="B69" s="51"/>
    </row>
    <row r="70" spans="2:2" x14ac:dyDescent="0.55000000000000004">
      <c r="B70" s="51"/>
    </row>
    <row r="71" spans="2:2" x14ac:dyDescent="0.55000000000000004">
      <c r="B71" s="51"/>
    </row>
    <row r="72" spans="2:2" x14ac:dyDescent="0.55000000000000004">
      <c r="B72" s="51"/>
    </row>
    <row r="73" spans="2:2" x14ac:dyDescent="0.55000000000000004">
      <c r="B73" s="51"/>
    </row>
    <row r="74" spans="2:2" x14ac:dyDescent="0.55000000000000004">
      <c r="B74" s="51"/>
    </row>
    <row r="75" spans="2:2" x14ac:dyDescent="0.55000000000000004">
      <c r="B75" s="51"/>
    </row>
    <row r="76" spans="2:2" x14ac:dyDescent="0.55000000000000004">
      <c r="B76" s="51"/>
    </row>
    <row r="77" spans="2:2" x14ac:dyDescent="0.55000000000000004">
      <c r="B77" s="51"/>
    </row>
    <row r="78" spans="2:2" x14ac:dyDescent="0.55000000000000004">
      <c r="B78" s="51"/>
    </row>
    <row r="79" spans="2:2" x14ac:dyDescent="0.55000000000000004">
      <c r="B79" s="51"/>
    </row>
    <row r="80" spans="2:2" x14ac:dyDescent="0.55000000000000004">
      <c r="B80" s="51"/>
    </row>
    <row r="81" spans="2:2" x14ac:dyDescent="0.55000000000000004">
      <c r="B81" s="51"/>
    </row>
    <row r="82" spans="2:2" x14ac:dyDescent="0.55000000000000004">
      <c r="B82" s="51"/>
    </row>
    <row r="83" spans="2:2" x14ac:dyDescent="0.55000000000000004">
      <c r="B83" s="51"/>
    </row>
    <row r="84" spans="2:2" x14ac:dyDescent="0.55000000000000004">
      <c r="B84" s="51"/>
    </row>
    <row r="85" spans="2:2" x14ac:dyDescent="0.55000000000000004">
      <c r="B85" s="51"/>
    </row>
    <row r="86" spans="2:2" x14ac:dyDescent="0.55000000000000004">
      <c r="B86" s="51"/>
    </row>
    <row r="87" spans="2:2" x14ac:dyDescent="0.55000000000000004">
      <c r="B87" s="51"/>
    </row>
    <row r="88" spans="2:2" x14ac:dyDescent="0.55000000000000004">
      <c r="B88" s="51"/>
    </row>
    <row r="89" spans="2:2" x14ac:dyDescent="0.55000000000000004">
      <c r="B89" s="51"/>
    </row>
    <row r="90" spans="2:2" x14ac:dyDescent="0.55000000000000004">
      <c r="B90" s="51"/>
    </row>
    <row r="91" spans="2:2" x14ac:dyDescent="0.55000000000000004">
      <c r="B91" s="51"/>
    </row>
    <row r="92" spans="2:2" x14ac:dyDescent="0.55000000000000004">
      <c r="B92" s="51"/>
    </row>
    <row r="93" spans="2:2" x14ac:dyDescent="0.55000000000000004">
      <c r="B93" s="51"/>
    </row>
    <row r="94" spans="2:2" x14ac:dyDescent="0.55000000000000004">
      <c r="B94" s="51"/>
    </row>
    <row r="95" spans="2:2" x14ac:dyDescent="0.55000000000000004">
      <c r="B95" s="51"/>
    </row>
    <row r="96" spans="2:2" x14ac:dyDescent="0.55000000000000004">
      <c r="B96" s="51"/>
    </row>
    <row r="97" spans="2:2" x14ac:dyDescent="0.55000000000000004">
      <c r="B97" s="51"/>
    </row>
    <row r="98" spans="2:2" x14ac:dyDescent="0.55000000000000004">
      <c r="B98" s="51"/>
    </row>
    <row r="99" spans="2:2" x14ac:dyDescent="0.55000000000000004">
      <c r="B99" s="51"/>
    </row>
    <row r="100" spans="2:2" x14ac:dyDescent="0.55000000000000004">
      <c r="B100" s="51"/>
    </row>
    <row r="101" spans="2:2" x14ac:dyDescent="0.55000000000000004">
      <c r="B101" s="51"/>
    </row>
    <row r="102" spans="2:2" x14ac:dyDescent="0.55000000000000004">
      <c r="B102" s="51"/>
    </row>
    <row r="103" spans="2:2" x14ac:dyDescent="0.55000000000000004">
      <c r="B103" s="51"/>
    </row>
    <row r="104" spans="2:2" x14ac:dyDescent="0.55000000000000004">
      <c r="B104" s="51"/>
    </row>
    <row r="105" spans="2:2" x14ac:dyDescent="0.55000000000000004">
      <c r="B105" s="51"/>
    </row>
    <row r="106" spans="2:2" x14ac:dyDescent="0.55000000000000004">
      <c r="B106" s="51"/>
    </row>
    <row r="107" spans="2:2" x14ac:dyDescent="0.55000000000000004">
      <c r="B107" s="51"/>
    </row>
    <row r="108" spans="2:2" x14ac:dyDescent="0.55000000000000004">
      <c r="B108" s="51"/>
    </row>
    <row r="109" spans="2:2" x14ac:dyDescent="0.55000000000000004">
      <c r="B109" s="51"/>
    </row>
    <row r="110" spans="2:2" x14ac:dyDescent="0.55000000000000004">
      <c r="B110" s="51"/>
    </row>
    <row r="111" spans="2:2" x14ac:dyDescent="0.55000000000000004">
      <c r="B111" s="51"/>
    </row>
    <row r="112" spans="2:2" x14ac:dyDescent="0.55000000000000004">
      <c r="B112" s="51"/>
    </row>
    <row r="113" spans="2:2" x14ac:dyDescent="0.55000000000000004">
      <c r="B113" s="51"/>
    </row>
    <row r="114" spans="2:2" x14ac:dyDescent="0.55000000000000004">
      <c r="B114" s="51"/>
    </row>
    <row r="115" spans="2:2" x14ac:dyDescent="0.55000000000000004">
      <c r="B115" s="51"/>
    </row>
    <row r="116" spans="2:2" x14ac:dyDescent="0.55000000000000004">
      <c r="B116" s="51"/>
    </row>
    <row r="117" spans="2:2" x14ac:dyDescent="0.55000000000000004">
      <c r="B117" s="51"/>
    </row>
    <row r="118" spans="2:2" x14ac:dyDescent="0.55000000000000004">
      <c r="B118" s="51"/>
    </row>
    <row r="119" spans="2:2" x14ac:dyDescent="0.55000000000000004">
      <c r="B119" s="51"/>
    </row>
    <row r="120" spans="2:2" x14ac:dyDescent="0.55000000000000004">
      <c r="B120" s="51"/>
    </row>
    <row r="121" spans="2:2" x14ac:dyDescent="0.55000000000000004">
      <c r="B121" s="51"/>
    </row>
    <row r="122" spans="2:2" x14ac:dyDescent="0.55000000000000004">
      <c r="B122" s="51"/>
    </row>
    <row r="123" spans="2:2" x14ac:dyDescent="0.55000000000000004">
      <c r="B123" s="51"/>
    </row>
    <row r="124" spans="2:2" x14ac:dyDescent="0.55000000000000004">
      <c r="B124" s="51"/>
    </row>
    <row r="125" spans="2:2" x14ac:dyDescent="0.55000000000000004">
      <c r="B125" s="51"/>
    </row>
    <row r="126" spans="2:2" x14ac:dyDescent="0.55000000000000004">
      <c r="B126" s="51"/>
    </row>
    <row r="127" spans="2:2" x14ac:dyDescent="0.55000000000000004">
      <c r="B127" s="51"/>
    </row>
    <row r="128" spans="2:2" x14ac:dyDescent="0.55000000000000004">
      <c r="B128" s="51"/>
    </row>
    <row r="129" spans="2:2" x14ac:dyDescent="0.55000000000000004">
      <c r="B129" s="51"/>
    </row>
    <row r="130" spans="2:2" x14ac:dyDescent="0.55000000000000004">
      <c r="B130" s="51"/>
    </row>
    <row r="131" spans="2:2" x14ac:dyDescent="0.55000000000000004">
      <c r="B131" s="51"/>
    </row>
    <row r="132" spans="2:2" x14ac:dyDescent="0.55000000000000004">
      <c r="B132" s="51"/>
    </row>
    <row r="133" spans="2:2" x14ac:dyDescent="0.55000000000000004">
      <c r="B133" s="51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9" r:id="rId4" name="GoToGraphBtn">
          <controlPr defaultSize="0" autoLine="0" r:id="rId5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4" name="GoToGraphBtn"/>
      </mc:Fallback>
    </mc:AlternateContent>
    <mc:AlternateContent xmlns:mc="http://schemas.openxmlformats.org/markup-compatibility/2006">
      <mc:Choice Requires="x14">
        <control shapeId="6148" r:id="rId6" name="DeleteDataBtn">
          <controlPr defaultSize="0" autoLine="0" r:id="rId7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6" name="Delete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6" r:id="rId10" name="ImportDataBtn">
          <controlPr defaultSize="0" autoLine="0" r:id="rId11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10" name="ImportDataBtn"/>
      </mc:Fallback>
    </mc:AlternateContent>
    <mc:AlternateContent xmlns:mc="http://schemas.openxmlformats.org/markup-compatibility/2006">
      <mc:Choice Requires="x14">
        <control shapeId="6145" r:id="rId12" name="GoToRegistDataBtn">
          <controlPr defaultSize="0" autoLine="0" r:id="rId13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12" name="GoToRegistData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activeCell="C4" sqref="C4"/>
    </sheetView>
  </sheetViews>
  <sheetFormatPr defaultRowHeight="18" x14ac:dyDescent="0.55000000000000004"/>
  <cols>
    <col min="1" max="1" width="30.83203125" style="58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53" t="s">
        <v>391</v>
      </c>
      <c r="B1" s="53"/>
      <c r="C1" s="53"/>
    </row>
    <row r="2" spans="1:3" ht="6.5" customHeight="1" x14ac:dyDescent="0.55000000000000004"/>
    <row r="3" spans="1:3" ht="25" customHeight="1" x14ac:dyDescent="0.55000000000000004">
      <c r="A3" s="59" t="s">
        <v>384</v>
      </c>
      <c r="B3" s="8" t="str">
        <f>VLOOKUP(C3,Storage!C:D,2,FALSE)</f>
        <v>jp</v>
      </c>
      <c r="C3" s="44" t="s">
        <v>420</v>
      </c>
    </row>
    <row r="4" spans="1:3" ht="25" customHeight="1" x14ac:dyDescent="0.55000000000000004">
      <c r="A4" s="63" t="s">
        <v>432</v>
      </c>
      <c r="B4" s="64">
        <f>C4</f>
        <v>1</v>
      </c>
      <c r="C4" s="8">
        <v>1</v>
      </c>
    </row>
    <row r="5" spans="1:3" ht="25" customHeight="1" x14ac:dyDescent="0.55000000000000004">
      <c r="A5" s="60"/>
      <c r="B5" s="1"/>
    </row>
    <row r="6" spans="1:3" ht="25" customHeight="1" x14ac:dyDescent="0.55000000000000004">
      <c r="A6" s="60"/>
      <c r="B6" s="1"/>
    </row>
    <row r="7" spans="1:3" ht="25" customHeight="1" x14ac:dyDescent="0.55000000000000004">
      <c r="A7" s="60"/>
      <c r="B7" s="1"/>
    </row>
    <row r="8" spans="1:3" ht="25" customHeight="1" x14ac:dyDescent="0.55000000000000004">
      <c r="A8" s="60"/>
      <c r="B8" s="1"/>
    </row>
    <row r="9" spans="1:3" ht="25" customHeight="1" x14ac:dyDescent="0.55000000000000004">
      <c r="A9" s="60"/>
      <c r="B9" s="1"/>
    </row>
    <row r="10" spans="1:3" ht="25" customHeight="1" x14ac:dyDescent="0.55000000000000004">
      <c r="A10" s="60"/>
      <c r="B10" s="1"/>
    </row>
    <row r="11" spans="1:3" ht="25" customHeight="1" x14ac:dyDescent="0.55000000000000004">
      <c r="A11" s="60"/>
      <c r="B11" s="1"/>
    </row>
    <row r="12" spans="1:3" ht="25" customHeight="1" x14ac:dyDescent="0.55000000000000004">
      <c r="A12" s="60"/>
      <c r="B12" s="1"/>
    </row>
    <row r="13" spans="1:3" ht="25" customHeight="1" x14ac:dyDescent="0.55000000000000004">
      <c r="A13" s="60"/>
      <c r="B13" s="1"/>
    </row>
    <row r="14" spans="1:3" ht="25" customHeight="1" x14ac:dyDescent="0.55000000000000004">
      <c r="A14" s="60"/>
      <c r="B14" s="1"/>
    </row>
    <row r="15" spans="1:3" ht="25" customHeight="1" x14ac:dyDescent="0.55000000000000004">
      <c r="A15" s="60"/>
      <c r="B15" s="1"/>
    </row>
    <row r="16" spans="1:3" x14ac:dyDescent="0.55000000000000004">
      <c r="A16" s="60"/>
      <c r="B16" s="1"/>
    </row>
    <row r="17" spans="1:2" x14ac:dyDescent="0.55000000000000004">
      <c r="A17" s="60"/>
      <c r="B17" s="1"/>
    </row>
    <row r="18" spans="1:2" x14ac:dyDescent="0.55000000000000004">
      <c r="A18" s="60"/>
      <c r="B18" s="1"/>
    </row>
    <row r="19" spans="1:2" x14ac:dyDescent="0.55000000000000004">
      <c r="A19" s="60"/>
      <c r="B19" s="1"/>
    </row>
    <row r="20" spans="1:2" x14ac:dyDescent="0.55000000000000004">
      <c r="A20" s="60"/>
      <c r="B20" s="1"/>
    </row>
    <row r="21" spans="1:2" x14ac:dyDescent="0.55000000000000004">
      <c r="A21" s="60"/>
      <c r="B21" s="1"/>
    </row>
    <row r="22" spans="1:2" x14ac:dyDescent="0.55000000000000004">
      <c r="A22" s="60"/>
      <c r="B22" s="1"/>
    </row>
    <row r="23" spans="1:2" x14ac:dyDescent="0.55000000000000004">
      <c r="A23" s="60"/>
      <c r="B23" s="1"/>
    </row>
    <row r="24" spans="1:2" x14ac:dyDescent="0.55000000000000004">
      <c r="A24" s="60"/>
      <c r="B24" s="1"/>
    </row>
    <row r="25" spans="1:2" x14ac:dyDescent="0.55000000000000004">
      <c r="A25" s="60"/>
      <c r="B25" s="1"/>
    </row>
    <row r="26" spans="1:2" x14ac:dyDescent="0.55000000000000004">
      <c r="A26" s="60"/>
      <c r="B26" s="1"/>
    </row>
    <row r="27" spans="1:2" x14ac:dyDescent="0.55000000000000004">
      <c r="A27" s="60"/>
      <c r="B27" s="1"/>
    </row>
    <row r="28" spans="1:2" x14ac:dyDescent="0.55000000000000004">
      <c r="A28" s="60"/>
      <c r="B28" s="1"/>
    </row>
    <row r="29" spans="1:2" x14ac:dyDescent="0.55000000000000004">
      <c r="A29" s="60"/>
      <c r="B29" s="1"/>
    </row>
    <row r="30" spans="1:2" x14ac:dyDescent="0.55000000000000004">
      <c r="A30" s="60"/>
      <c r="B30" s="1"/>
    </row>
    <row r="31" spans="1:2" x14ac:dyDescent="0.55000000000000004">
      <c r="A31" s="60"/>
      <c r="B31" s="1"/>
    </row>
    <row r="32" spans="1:2" x14ac:dyDescent="0.55000000000000004">
      <c r="A32" s="60"/>
      <c r="B32" s="1"/>
    </row>
    <row r="33" spans="1:2" x14ac:dyDescent="0.55000000000000004">
      <c r="A33" s="60"/>
      <c r="B33" s="1"/>
    </row>
    <row r="34" spans="1:2" x14ac:dyDescent="0.55000000000000004">
      <c r="A34" s="60"/>
      <c r="B34" s="1"/>
    </row>
    <row r="35" spans="1:2" x14ac:dyDescent="0.55000000000000004">
      <c r="A35" s="60"/>
      <c r="B35" s="1"/>
    </row>
    <row r="36" spans="1:2" x14ac:dyDescent="0.55000000000000004">
      <c r="A36" s="60"/>
      <c r="B36" s="1"/>
    </row>
    <row r="37" spans="1:2" x14ac:dyDescent="0.55000000000000004">
      <c r="A37" s="60"/>
      <c r="B37" s="1"/>
    </row>
    <row r="38" spans="1:2" x14ac:dyDescent="0.55000000000000004">
      <c r="A38" s="60"/>
      <c r="B38" s="1"/>
    </row>
    <row r="39" spans="1:2" x14ac:dyDescent="0.55000000000000004">
      <c r="A39" s="60"/>
      <c r="B39" s="1"/>
    </row>
    <row r="40" spans="1:2" x14ac:dyDescent="0.55000000000000004">
      <c r="A40" s="60"/>
      <c r="B40" s="1"/>
    </row>
    <row r="41" spans="1:2" x14ac:dyDescent="0.55000000000000004">
      <c r="A41" s="60"/>
      <c r="B41" s="1"/>
    </row>
    <row r="42" spans="1:2" x14ac:dyDescent="0.55000000000000004">
      <c r="A42" s="60"/>
      <c r="B42" s="1"/>
    </row>
    <row r="43" spans="1:2" x14ac:dyDescent="0.55000000000000004">
      <c r="A43" s="60"/>
      <c r="B43" s="1"/>
    </row>
    <row r="44" spans="1:2" x14ac:dyDescent="0.55000000000000004">
      <c r="A44" s="60"/>
      <c r="B44" s="1"/>
    </row>
    <row r="45" spans="1:2" x14ac:dyDescent="0.55000000000000004">
      <c r="A45" s="60"/>
      <c r="B45" s="1"/>
    </row>
    <row r="46" spans="1:2" x14ac:dyDescent="0.55000000000000004">
      <c r="A46" s="60"/>
      <c r="B46" s="1"/>
    </row>
    <row r="47" spans="1:2" x14ac:dyDescent="0.55000000000000004">
      <c r="A47" s="60"/>
      <c r="B47" s="1"/>
    </row>
    <row r="48" spans="1:2" x14ac:dyDescent="0.55000000000000004">
      <c r="A48" s="60"/>
      <c r="B48" s="1"/>
    </row>
    <row r="49" spans="1:2" x14ac:dyDescent="0.55000000000000004">
      <c r="A49" s="60"/>
      <c r="B49" s="1"/>
    </row>
    <row r="50" spans="1:2" x14ac:dyDescent="0.55000000000000004">
      <c r="A50" s="60"/>
      <c r="B50" s="1"/>
    </row>
    <row r="51" spans="1:2" x14ac:dyDescent="0.55000000000000004">
      <c r="A51" s="60"/>
      <c r="B51" s="1"/>
    </row>
    <row r="52" spans="1:2" x14ac:dyDescent="0.55000000000000004">
      <c r="A52" s="60"/>
      <c r="B52" s="1"/>
    </row>
    <row r="53" spans="1:2" x14ac:dyDescent="0.55000000000000004">
      <c r="A53" s="60"/>
      <c r="B53" s="1"/>
    </row>
    <row r="54" spans="1:2" x14ac:dyDescent="0.55000000000000004">
      <c r="A54" s="60"/>
      <c r="B54" s="1"/>
    </row>
    <row r="55" spans="1:2" x14ac:dyDescent="0.55000000000000004">
      <c r="A55" s="60"/>
      <c r="B55" s="1"/>
    </row>
    <row r="56" spans="1:2" x14ac:dyDescent="0.55000000000000004">
      <c r="A56" s="60"/>
      <c r="B56" s="1"/>
    </row>
    <row r="57" spans="1:2" x14ac:dyDescent="0.55000000000000004">
      <c r="A57" s="60"/>
      <c r="B57" s="1"/>
    </row>
    <row r="58" spans="1:2" x14ac:dyDescent="0.55000000000000004">
      <c r="A58" s="60"/>
      <c r="B58" s="1"/>
    </row>
    <row r="59" spans="1:2" x14ac:dyDescent="0.55000000000000004">
      <c r="A59" s="60"/>
      <c r="B59" s="1"/>
    </row>
    <row r="60" spans="1:2" x14ac:dyDescent="0.55000000000000004">
      <c r="A60" s="60"/>
      <c r="B60" s="1"/>
    </row>
    <row r="61" spans="1:2" x14ac:dyDescent="0.55000000000000004">
      <c r="A61" s="60"/>
      <c r="B61" s="1"/>
    </row>
    <row r="62" spans="1:2" x14ac:dyDescent="0.55000000000000004">
      <c r="A62" s="60"/>
      <c r="B62" s="1"/>
    </row>
    <row r="63" spans="1:2" x14ac:dyDescent="0.55000000000000004">
      <c r="A63" s="60"/>
      <c r="B63" s="1"/>
    </row>
    <row r="64" spans="1:2" x14ac:dyDescent="0.55000000000000004">
      <c r="A64" s="60"/>
      <c r="B64" s="1"/>
    </row>
    <row r="65" spans="1:3" x14ac:dyDescent="0.55000000000000004">
      <c r="A65" s="60"/>
      <c r="B65" s="1"/>
    </row>
    <row r="66" spans="1:3" x14ac:dyDescent="0.55000000000000004">
      <c r="A66" s="61"/>
      <c r="B66" s="3"/>
      <c r="C66" s="6"/>
    </row>
    <row r="67" spans="1:3" x14ac:dyDescent="0.55000000000000004">
      <c r="A67" s="62"/>
      <c r="B67" s="2"/>
      <c r="C67" s="7"/>
    </row>
    <row r="68" spans="1:3" x14ac:dyDescent="0.55000000000000004">
      <c r="A68" s="62"/>
      <c r="B68" s="2"/>
      <c r="C68" s="7"/>
    </row>
    <row r="69" spans="1:3" x14ac:dyDescent="0.55000000000000004">
      <c r="A69" s="62"/>
      <c r="B69" s="2"/>
      <c r="C69" s="7"/>
    </row>
    <row r="70" spans="1:3" x14ac:dyDescent="0.55000000000000004">
      <c r="A70" s="62"/>
      <c r="B70" s="2"/>
      <c r="C70" s="7"/>
    </row>
    <row r="71" spans="1:3" x14ac:dyDescent="0.55000000000000004">
      <c r="A71" s="62"/>
      <c r="B71" s="2"/>
      <c r="C71" s="7"/>
    </row>
    <row r="72" spans="1:3" x14ac:dyDescent="0.55000000000000004">
      <c r="A72" s="62"/>
      <c r="B72" s="2"/>
      <c r="C72" s="7"/>
    </row>
    <row r="73" spans="1:3" x14ac:dyDescent="0.55000000000000004">
      <c r="A73" s="62"/>
      <c r="B73" s="2"/>
      <c r="C73" s="7"/>
    </row>
    <row r="74" spans="1:3" x14ac:dyDescent="0.55000000000000004">
      <c r="A74" s="60"/>
      <c r="B74" s="1"/>
    </row>
    <row r="75" spans="1:3" x14ac:dyDescent="0.55000000000000004">
      <c r="A75" s="60"/>
      <c r="B75" s="1"/>
    </row>
    <row r="76" spans="1:3" x14ac:dyDescent="0.55000000000000004">
      <c r="A76" s="60"/>
      <c r="B76" s="1"/>
    </row>
    <row r="77" spans="1:3" x14ac:dyDescent="0.55000000000000004">
      <c r="A77" s="60"/>
      <c r="B77" s="1"/>
    </row>
    <row r="78" spans="1:3" x14ac:dyDescent="0.55000000000000004">
      <c r="A78" s="60"/>
      <c r="B78" s="1"/>
    </row>
    <row r="79" spans="1:3" x14ac:dyDescent="0.55000000000000004">
      <c r="A79" s="60"/>
      <c r="B79" s="1"/>
    </row>
    <row r="80" spans="1:3" x14ac:dyDescent="0.55000000000000004">
      <c r="A80" s="60"/>
      <c r="B80" s="1"/>
    </row>
    <row r="81" spans="1:2" x14ac:dyDescent="0.55000000000000004">
      <c r="A81" s="60"/>
      <c r="B81" s="1"/>
    </row>
  </sheetData>
  <sheetProtection selectLockedCells="1"/>
  <mergeCells count="1">
    <mergeCell ref="A1:C1"/>
  </mergeCells>
  <phoneticPr fontId="1"/>
  <dataValidations count="1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何回以上走ったコースをピボットテーブルに出力するか_x000a_Courses that have been run more times than this value are displayed in the pivot table." sqref="C4" xr:uid="{7EB37FD6-913C-4E5D-923B-1A0D9D4328CA}">
      <formula1>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>
              <from>
                <xdr:col>3</xdr:col>
                <xdr:colOff>285750</xdr:colOff>
                <xdr:row>0</xdr:row>
                <xdr:rowOff>76200</xdr:rowOff>
              </from>
              <to>
                <xdr:col>3</xdr:col>
                <xdr:colOff>1555750</xdr:colOff>
                <xdr:row>2</xdr:row>
                <xdr:rowOff>228600</xdr:rowOff>
              </to>
            </anchor>
          </controlPr>
        </control>
      </mc:Choice>
      <mc:Fallback>
        <control shapeId="2049" r:id="rId3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F81"/>
  <sheetViews>
    <sheetView topLeftCell="D1" workbookViewId="0"/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6" x14ac:dyDescent="0.55000000000000004">
      <c r="A1" s="5" t="s">
        <v>418</v>
      </c>
      <c r="C1" s="1" t="s">
        <v>389</v>
      </c>
      <c r="D1" s="1" t="s">
        <v>387</v>
      </c>
      <c r="E1" t="s">
        <v>417</v>
      </c>
      <c r="F1" t="s">
        <v>417</v>
      </c>
    </row>
    <row r="2" spans="1:6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401</v>
      </c>
    </row>
    <row r="3" spans="1:6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402</v>
      </c>
    </row>
    <row r="4" spans="1:6" x14ac:dyDescent="0.55000000000000004">
      <c r="A4" s="1" t="s">
        <v>2</v>
      </c>
      <c r="B4" s="1" t="s">
        <v>26</v>
      </c>
      <c r="E4" s="1" t="s">
        <v>369</v>
      </c>
      <c r="F4" s="1" t="s">
        <v>403</v>
      </c>
    </row>
    <row r="5" spans="1:6" x14ac:dyDescent="0.55000000000000004">
      <c r="A5" s="1" t="s">
        <v>3</v>
      </c>
      <c r="B5" s="1" t="s">
        <v>27</v>
      </c>
      <c r="E5" s="1" t="s">
        <v>370</v>
      </c>
      <c r="F5" s="1" t="s">
        <v>404</v>
      </c>
    </row>
    <row r="6" spans="1:6" x14ac:dyDescent="0.55000000000000004">
      <c r="A6" s="1" t="s">
        <v>4</v>
      </c>
      <c r="B6" s="1" t="s">
        <v>28</v>
      </c>
      <c r="E6" s="1" t="s">
        <v>371</v>
      </c>
      <c r="F6" s="1" t="s">
        <v>405</v>
      </c>
    </row>
    <row r="7" spans="1:6" x14ac:dyDescent="0.55000000000000004">
      <c r="A7" s="1" t="s">
        <v>5</v>
      </c>
      <c r="B7" s="1" t="s">
        <v>29</v>
      </c>
      <c r="E7" s="1" t="s">
        <v>372</v>
      </c>
    </row>
    <row r="8" spans="1:6" x14ac:dyDescent="0.55000000000000004">
      <c r="A8" s="1" t="s">
        <v>6</v>
      </c>
      <c r="B8" s="1" t="s">
        <v>30</v>
      </c>
      <c r="E8" s="1" t="s">
        <v>373</v>
      </c>
    </row>
    <row r="9" spans="1:6" x14ac:dyDescent="0.55000000000000004">
      <c r="A9" s="1" t="s">
        <v>7</v>
      </c>
      <c r="B9" s="1" t="s">
        <v>31</v>
      </c>
      <c r="E9" s="1" t="s">
        <v>374</v>
      </c>
    </row>
    <row r="10" spans="1:6" x14ac:dyDescent="0.55000000000000004">
      <c r="A10" s="1" t="s">
        <v>173</v>
      </c>
      <c r="B10" s="1" t="s">
        <v>32</v>
      </c>
      <c r="E10" s="1" t="s">
        <v>375</v>
      </c>
    </row>
    <row r="11" spans="1:6" x14ac:dyDescent="0.55000000000000004">
      <c r="A11" s="1" t="s">
        <v>8</v>
      </c>
      <c r="B11" s="1" t="s">
        <v>33</v>
      </c>
      <c r="E11" s="1" t="s">
        <v>376</v>
      </c>
    </row>
    <row r="12" spans="1:6" x14ac:dyDescent="0.55000000000000004">
      <c r="A12" s="1" t="s">
        <v>9</v>
      </c>
      <c r="B12" s="1" t="s">
        <v>34</v>
      </c>
      <c r="E12" s="1" t="s">
        <v>377</v>
      </c>
    </row>
    <row r="13" spans="1:6" x14ac:dyDescent="0.55000000000000004">
      <c r="A13" s="1" t="s">
        <v>10</v>
      </c>
      <c r="B13" s="1" t="s">
        <v>35</v>
      </c>
      <c r="E13" s="1" t="s">
        <v>378</v>
      </c>
    </row>
    <row r="14" spans="1:6" x14ac:dyDescent="0.55000000000000004">
      <c r="A14" s="1" t="s">
        <v>11</v>
      </c>
      <c r="B14" s="1" t="s">
        <v>36</v>
      </c>
      <c r="E14" s="1" t="s">
        <v>379</v>
      </c>
    </row>
    <row r="15" spans="1:6" x14ac:dyDescent="0.55000000000000004">
      <c r="A15" s="1" t="s">
        <v>12</v>
      </c>
      <c r="B15" s="1" t="s">
        <v>37</v>
      </c>
      <c r="E15" s="1" t="s">
        <v>380</v>
      </c>
    </row>
    <row r="16" spans="1:6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398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</sheetData>
  <sheetProtection algorithmName="SHA-512" hashValue="OLbjbCpTaJcqT7icTYK9HlLdOzT8FwkXfltAjht7qFoUOvYRMDjyOzu3nb0QfiIFUQ8m1g2ujdG0uTOgyinCKw==" saltValue="0MFrHXKq18VaiYywvaBKH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81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</sheetData>
  <sheetProtection algorithmName="SHA-512" hashValue="3MfR5beVvKjz+UFQIAliiUhDgmLkofLaxmRL+HXpq2gJtOgq20YX2cIi80aYI6GuWVyPwP4t3yBq7aiwO1ygkA==" saltValue="uh8zkwbMYujZ2puqEnROZ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66" s="2" customFormat="1" x14ac:dyDescent="0.55000000000000004"/>
  </sheetData>
  <sheetProtection algorithmName="SHA-512" hashValue="9b32RLMPVNq+vvkFZW7mBboAOEFNJSFiKox/KcDyQjfJK0Hz/NVCMopR2DNNGEF9hVDFy1j2uf1nC/fBVRzqzw==" saltValue="ek7OsABluNcUJnXzfQBBl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sqref="A1:C1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397</v>
      </c>
      <c r="B17" s="1" t="s">
        <v>398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399</v>
      </c>
      <c r="B1" s="4" t="s">
        <v>400</v>
      </c>
      <c r="C1" s="4" t="s">
        <v>99</v>
      </c>
    </row>
    <row r="2" spans="1:3" x14ac:dyDescent="0.55000000000000004">
      <c r="A2" s="1">
        <v>1</v>
      </c>
      <c r="B2" s="1" t="s">
        <v>401</v>
      </c>
      <c r="C2" s="1">
        <v>1</v>
      </c>
    </row>
    <row r="3" spans="1:3" x14ac:dyDescent="0.55000000000000004">
      <c r="A3" s="1">
        <v>2</v>
      </c>
      <c r="B3" s="1" t="s">
        <v>402</v>
      </c>
      <c r="C3" s="1">
        <v>2</v>
      </c>
    </row>
    <row r="4" spans="1:3" x14ac:dyDescent="0.55000000000000004">
      <c r="A4" s="1">
        <v>3</v>
      </c>
      <c r="B4" s="1" t="s">
        <v>403</v>
      </c>
      <c r="C4" s="1">
        <v>3</v>
      </c>
    </row>
    <row r="5" spans="1:3" x14ac:dyDescent="0.55000000000000004">
      <c r="A5" s="1">
        <v>4</v>
      </c>
      <c r="B5" s="1" t="s">
        <v>404</v>
      </c>
      <c r="C5" s="1">
        <v>4</v>
      </c>
    </row>
    <row r="6" spans="1:3" x14ac:dyDescent="0.55000000000000004">
      <c r="A6" s="1">
        <v>6</v>
      </c>
      <c r="B6" s="1" t="s">
        <v>405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2023-05-07T15:54:44Z</dcterms:modified>
</cp:coreProperties>
</file>