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3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yuora\Documents\work-space\vba\mk8dx_track_db_2\"/>
    </mc:Choice>
  </mc:AlternateContent>
  <xr:revisionPtr revIDLastSave="0" documentId="13_ncr:1_{A0D0DE04-F630-4A3F-AEED-A737DD8CDC2F}" xr6:coauthVersionLast="47" xr6:coauthVersionMax="47" xr10:uidLastSave="{00000000-0000-0000-0000-000000000000}"/>
  <workbookProtection workbookAlgorithmName="SHA-512" workbookHashValue="Qsse7VG35LA+mkgO7IkEIAfXcYj2PRgDA7MPoXixYxWPmwBRTP/xRxwOw87N9m8ppriu8c/iRflC9cBi3Pr6Lg==" workbookSaltValue="sc3tnr3Cq/tj1LOO3S34rQ==" workbookSpinCount="100000" lockStructure="1"/>
  <bookViews>
    <workbookView xWindow="0" yWindow="10" windowWidth="9400" windowHeight="14400" tabRatio="862" xr2:uid="{4A114984-3AD0-403E-88C9-B88E276066BE}"/>
  </bookViews>
  <sheets>
    <sheet name="RegistData" sheetId="11" r:id="rId1"/>
    <sheet name="Graph" sheetId="19" r:id="rId2"/>
    <sheet name="Data" sheetId="17" r:id="rId3"/>
    <sheet name="Settings" sheetId="13" r:id="rId4"/>
    <sheet name="Storage" sheetId="12" r:id="rId5"/>
    <sheet name="TrackMaster" sheetId="4" r:id="rId6"/>
    <sheet name="CupMaster" sheetId="6" r:id="rId7"/>
    <sheet name="VersionMaster" sheetId="8" r:id="rId8"/>
    <sheet name="LoungeTierMaster" sheetId="9" r:id="rId9"/>
    <sheet name="FormatMaster" sheetId="16" r:id="rId10"/>
    <sheet name="PointMaster" sheetId="10" r:id="rId11"/>
    <sheet name="LanguageMaster" sheetId="14" r:id="rId12"/>
  </sheets>
  <functionGroups builtInGroupCount="19"/>
  <calcPr calcId="181029"/>
  <pivotCaches>
    <pivotCache cacheId="0" r:id="rId13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6" i="11" l="1"/>
  <c r="F7" i="11"/>
  <c r="F8" i="11"/>
  <c r="F9" i="11"/>
  <c r="F10" i="11"/>
  <c r="F11" i="11"/>
  <c r="F12" i="11"/>
  <c r="F13" i="11"/>
  <c r="F14" i="11"/>
  <c r="F15" i="11"/>
  <c r="F16" i="11"/>
  <c r="F5" i="11"/>
  <c r="B4" i="13" l="1"/>
  <c r="B3" i="13"/>
  <c r="C17" i="11"/>
</calcChain>
</file>

<file path=xl/sharedStrings.xml><?xml version="1.0" encoding="utf-8"?>
<sst xmlns="http://schemas.openxmlformats.org/spreadsheetml/2006/main" count="1041" uniqueCount="607">
  <si>
    <t>マリオカートスタジアム</t>
    <phoneticPr fontId="1"/>
  </si>
  <si>
    <t>ウォーターパーク</t>
    <phoneticPr fontId="1"/>
  </si>
  <si>
    <t>スイーツキャニオン</t>
    <phoneticPr fontId="1"/>
  </si>
  <si>
    <t>ドッスンいせき</t>
    <phoneticPr fontId="1"/>
  </si>
  <si>
    <t>マリオサーキット</t>
    <phoneticPr fontId="1"/>
  </si>
  <si>
    <t>キノピオハーバー</t>
    <phoneticPr fontId="1"/>
  </si>
  <si>
    <t>ねじれマンション</t>
  </si>
  <si>
    <t>ヘイホーこうざん</t>
    <phoneticPr fontId="1"/>
  </si>
  <si>
    <t>ドルフィンみさき</t>
    <phoneticPr fontId="1"/>
  </si>
  <si>
    <t>エレクトロドリーム</t>
    <phoneticPr fontId="1"/>
  </si>
  <si>
    <t>ワリオスノーマウンテン</t>
    <phoneticPr fontId="1"/>
  </si>
  <si>
    <t>スカイガーデン</t>
    <phoneticPr fontId="1"/>
  </si>
  <si>
    <t>ホネホネさばく</t>
    <phoneticPr fontId="1"/>
  </si>
  <si>
    <t>クッパキャッスル</t>
    <phoneticPr fontId="1"/>
  </si>
  <si>
    <t>レインボーロード</t>
    <phoneticPr fontId="1"/>
  </si>
  <si>
    <t>エキサイトバイク</t>
    <phoneticPr fontId="1"/>
  </si>
  <si>
    <t>ドラゴンロード</t>
    <phoneticPr fontId="1"/>
  </si>
  <si>
    <t>ミュートシティ</t>
    <phoneticPr fontId="1"/>
  </si>
  <si>
    <t>ネイチャーロード</t>
    <phoneticPr fontId="1"/>
  </si>
  <si>
    <t>どうぶつの森</t>
    <phoneticPr fontId="1"/>
  </si>
  <si>
    <t>ツルツルツイスター</t>
    <phoneticPr fontId="1"/>
  </si>
  <si>
    <t>ハイラルサーキット</t>
    <phoneticPr fontId="1"/>
  </si>
  <si>
    <t>リンリンメトロ</t>
    <phoneticPr fontId="1"/>
  </si>
  <si>
    <t>ビッグブルー</t>
    <phoneticPr fontId="1"/>
  </si>
  <si>
    <t>MKS</t>
    <phoneticPr fontId="1"/>
  </si>
  <si>
    <t>WP</t>
    <phoneticPr fontId="1"/>
  </si>
  <si>
    <t>SSC</t>
    <phoneticPr fontId="1"/>
  </si>
  <si>
    <t>TR</t>
    <phoneticPr fontId="1"/>
  </si>
  <si>
    <t>MC</t>
    <phoneticPr fontId="1"/>
  </si>
  <si>
    <t>TH</t>
    <phoneticPr fontId="1"/>
  </si>
  <si>
    <t>TM</t>
    <phoneticPr fontId="1"/>
  </si>
  <si>
    <t>SGF</t>
    <phoneticPr fontId="1"/>
  </si>
  <si>
    <t>SA</t>
    <phoneticPr fontId="1"/>
  </si>
  <si>
    <t>DS</t>
    <phoneticPr fontId="1"/>
  </si>
  <si>
    <t>Ed</t>
    <phoneticPr fontId="1"/>
  </si>
  <si>
    <t>MW</t>
    <phoneticPr fontId="1"/>
  </si>
  <si>
    <t>CC</t>
    <phoneticPr fontId="1"/>
  </si>
  <si>
    <t>BDD</t>
    <phoneticPr fontId="1"/>
  </si>
  <si>
    <t>BC</t>
    <phoneticPr fontId="1"/>
  </si>
  <si>
    <t>RR</t>
    <phoneticPr fontId="1"/>
  </si>
  <si>
    <t>rMMM</t>
    <phoneticPr fontId="1"/>
  </si>
  <si>
    <t>rMC</t>
    <phoneticPr fontId="1"/>
  </si>
  <si>
    <t>rCCB</t>
    <phoneticPr fontId="1"/>
  </si>
  <si>
    <t>rTT</t>
    <phoneticPr fontId="1"/>
  </si>
  <si>
    <t>rDDD</t>
    <phoneticPr fontId="1"/>
  </si>
  <si>
    <t>rDP3</t>
    <phoneticPr fontId="1"/>
  </si>
  <si>
    <t>rRRy</t>
    <phoneticPr fontId="1"/>
  </si>
  <si>
    <t>rDKJ</t>
    <phoneticPr fontId="1"/>
  </si>
  <si>
    <t>rWS</t>
    <phoneticPr fontId="1"/>
  </si>
  <si>
    <t>rSL</t>
    <phoneticPr fontId="1"/>
  </si>
  <si>
    <t>rMP</t>
    <phoneticPr fontId="1"/>
  </si>
  <si>
    <t>rYV</t>
    <phoneticPr fontId="1"/>
  </si>
  <si>
    <t>rTTC</t>
    <phoneticPr fontId="1"/>
  </si>
  <si>
    <t>rPPS</t>
    <phoneticPr fontId="1"/>
  </si>
  <si>
    <t>rGV</t>
    <phoneticPr fontId="1"/>
  </si>
  <si>
    <t>rRRd</t>
    <phoneticPr fontId="1"/>
  </si>
  <si>
    <t>dYC</t>
    <phoneticPr fontId="1"/>
  </si>
  <si>
    <t>dEA</t>
    <phoneticPr fontId="1"/>
  </si>
  <si>
    <t>dDD</t>
    <phoneticPr fontId="1"/>
  </si>
  <si>
    <t>dMC</t>
    <phoneticPr fontId="1"/>
  </si>
  <si>
    <t>dWGM</t>
    <phoneticPr fontId="1"/>
  </si>
  <si>
    <t>dRR</t>
    <phoneticPr fontId="1"/>
  </si>
  <si>
    <t>dBP</t>
    <phoneticPr fontId="1"/>
  </si>
  <si>
    <t>dCL</t>
    <phoneticPr fontId="1"/>
  </si>
  <si>
    <t>dWW</t>
    <phoneticPr fontId="1"/>
  </si>
  <si>
    <t>dAC</t>
    <phoneticPr fontId="1"/>
  </si>
  <si>
    <t>dIIO</t>
    <phoneticPr fontId="1"/>
  </si>
  <si>
    <t>dHC</t>
    <phoneticPr fontId="1"/>
  </si>
  <si>
    <t>dNBC</t>
    <phoneticPr fontId="1"/>
  </si>
  <si>
    <t>dRiR</t>
    <phoneticPr fontId="1"/>
  </si>
  <si>
    <t>dSBS</t>
    <phoneticPr fontId="1"/>
  </si>
  <si>
    <t>dBB</t>
    <phoneticPr fontId="1"/>
  </si>
  <si>
    <t>bPP</t>
    <phoneticPr fontId="1"/>
  </si>
  <si>
    <t>bTC</t>
  </si>
  <si>
    <t>bTB</t>
    <phoneticPr fontId="1"/>
  </si>
  <si>
    <t>bCMo</t>
    <phoneticPr fontId="1"/>
  </si>
  <si>
    <t>bCMa</t>
    <phoneticPr fontId="1"/>
  </si>
  <si>
    <t>bSR</t>
    <phoneticPr fontId="1"/>
  </si>
  <si>
    <t>bSG</t>
    <phoneticPr fontId="1"/>
  </si>
  <si>
    <t>bNH</t>
    <phoneticPr fontId="1"/>
  </si>
  <si>
    <t>アイスビルディング</t>
    <phoneticPr fontId="1"/>
  </si>
  <si>
    <t>bKD</t>
    <phoneticPr fontId="1"/>
  </si>
  <si>
    <t>bMC3</t>
    <phoneticPr fontId="1"/>
  </si>
  <si>
    <t>bMG</t>
    <phoneticPr fontId="1"/>
  </si>
  <si>
    <t>bNYM</t>
    <phoneticPr fontId="1"/>
  </si>
  <si>
    <t>bWP</t>
    <phoneticPr fontId="1"/>
  </si>
  <si>
    <t>bSS</t>
    <phoneticPr fontId="1"/>
  </si>
  <si>
    <t>bSL</t>
    <phoneticPr fontId="1"/>
  </si>
  <si>
    <t>bSHS</t>
    <phoneticPr fontId="1"/>
  </si>
  <si>
    <t>bLL</t>
  </si>
  <si>
    <t>bBL</t>
  </si>
  <si>
    <t>bRRM</t>
  </si>
  <si>
    <t>bMT</t>
  </si>
  <si>
    <t>bBB</t>
  </si>
  <si>
    <t>bPG</t>
  </si>
  <si>
    <t>bMM</t>
  </si>
  <si>
    <t>bRR7</t>
  </si>
  <si>
    <t>trackKey</t>
    <phoneticPr fontId="1"/>
  </si>
  <si>
    <t>cupKey</t>
    <phoneticPr fontId="1"/>
  </si>
  <si>
    <t>displayOrder</t>
    <phoneticPr fontId="1"/>
  </si>
  <si>
    <t>キノコカップ</t>
    <phoneticPr fontId="1"/>
  </si>
  <si>
    <t>フラワーカップ</t>
    <phoneticPr fontId="1"/>
  </si>
  <si>
    <t>スターカップ</t>
    <phoneticPr fontId="1"/>
  </si>
  <si>
    <t>スペシャルカップ</t>
    <phoneticPr fontId="1"/>
  </si>
  <si>
    <t>こうらカップ</t>
    <phoneticPr fontId="1"/>
  </si>
  <si>
    <t>バナナカップ</t>
    <phoneticPr fontId="1"/>
  </si>
  <si>
    <t>このはカップ</t>
    <phoneticPr fontId="1"/>
  </si>
  <si>
    <t>サンダーカップ</t>
    <phoneticPr fontId="1"/>
  </si>
  <si>
    <t>たまごカップ</t>
    <phoneticPr fontId="1"/>
  </si>
  <si>
    <t>ゼルダカップ</t>
    <phoneticPr fontId="1"/>
  </si>
  <si>
    <t>どうぶつカップ</t>
    <phoneticPr fontId="1"/>
  </si>
  <si>
    <t>ベルカップ</t>
    <phoneticPr fontId="1"/>
  </si>
  <si>
    <t>パワフルカップ</t>
    <phoneticPr fontId="1"/>
  </si>
  <si>
    <t>まねきネコカップ</t>
    <phoneticPr fontId="1"/>
  </si>
  <si>
    <t>カブカップ</t>
    <phoneticPr fontId="1"/>
  </si>
  <si>
    <t>プロペラカップ</t>
    <phoneticPr fontId="1"/>
  </si>
  <si>
    <t>ゴロいわカップ</t>
    <phoneticPr fontId="1"/>
  </si>
  <si>
    <t>ムーンカップ</t>
    <phoneticPr fontId="1"/>
  </si>
  <si>
    <t>フルーツカップ</t>
    <phoneticPr fontId="1"/>
  </si>
  <si>
    <t>ブーメランカップ</t>
    <phoneticPr fontId="1"/>
  </si>
  <si>
    <t>flower</t>
    <phoneticPr fontId="1"/>
  </si>
  <si>
    <t>star</t>
    <phoneticPr fontId="1"/>
  </si>
  <si>
    <t>special</t>
    <phoneticPr fontId="1"/>
  </si>
  <si>
    <t>shell</t>
    <phoneticPr fontId="1"/>
  </si>
  <si>
    <t>banana</t>
    <phoneticPr fontId="1"/>
  </si>
  <si>
    <t>leaf</t>
    <phoneticPr fontId="1"/>
  </si>
  <si>
    <t>mushroom</t>
    <phoneticPr fontId="1"/>
  </si>
  <si>
    <t>lightning</t>
    <phoneticPr fontId="1"/>
  </si>
  <si>
    <t>egg</t>
    <phoneticPr fontId="1"/>
  </si>
  <si>
    <t>triforce</t>
    <phoneticPr fontId="1"/>
  </si>
  <si>
    <t>crossing</t>
    <phoneticPr fontId="1"/>
  </si>
  <si>
    <t>bell</t>
    <phoneticPr fontId="1"/>
  </si>
  <si>
    <t>golden-dash</t>
    <phoneticPr fontId="1"/>
  </si>
  <si>
    <t>lucky-cat</t>
    <phoneticPr fontId="1"/>
  </si>
  <si>
    <t>turnip</t>
    <phoneticPr fontId="1"/>
  </si>
  <si>
    <t>propeller</t>
    <phoneticPr fontId="1"/>
  </si>
  <si>
    <t>rock</t>
    <phoneticPr fontId="1"/>
  </si>
  <si>
    <t>moon</t>
    <phoneticPr fontId="1"/>
  </si>
  <si>
    <t>fruit</t>
    <phoneticPr fontId="1"/>
  </si>
  <si>
    <t>boomerang</t>
    <phoneticPr fontId="1"/>
  </si>
  <si>
    <t>cupNameJp</t>
    <phoneticPr fontId="1"/>
  </si>
  <si>
    <t>cupNameEn</t>
    <phoneticPr fontId="1"/>
  </si>
  <si>
    <t>Mushroom Cup</t>
    <phoneticPr fontId="1"/>
  </si>
  <si>
    <t>Flower Cup</t>
    <phoneticPr fontId="1"/>
  </si>
  <si>
    <t>Star Cup</t>
    <phoneticPr fontId="1"/>
  </si>
  <si>
    <t>Shell Cup</t>
    <phoneticPr fontId="1"/>
  </si>
  <si>
    <t>Special Cup</t>
    <phoneticPr fontId="1"/>
  </si>
  <si>
    <t>Banana Cup</t>
    <phoneticPr fontId="1"/>
  </si>
  <si>
    <t>Leaf Cup</t>
    <phoneticPr fontId="1"/>
  </si>
  <si>
    <t>Lightning Cup</t>
    <phoneticPr fontId="1"/>
  </si>
  <si>
    <t>Egg Cup</t>
    <phoneticPr fontId="1"/>
  </si>
  <si>
    <t>Triforce Cup</t>
    <phoneticPr fontId="1"/>
  </si>
  <si>
    <t>Crossing Cup</t>
    <phoneticPr fontId="1"/>
  </si>
  <si>
    <t>Bell Cup</t>
    <phoneticPr fontId="1"/>
  </si>
  <si>
    <t>Golden Dash Cup</t>
    <phoneticPr fontId="1"/>
  </si>
  <si>
    <t>Lucky Cat Cup</t>
    <phoneticPr fontId="1"/>
  </si>
  <si>
    <t>Turnip Cup</t>
    <phoneticPr fontId="1"/>
  </si>
  <si>
    <t>Propeller Cup</t>
    <phoneticPr fontId="1"/>
  </si>
  <si>
    <t>Rock Cup</t>
    <phoneticPr fontId="1"/>
  </si>
  <si>
    <t>Moon Cup</t>
    <phoneticPr fontId="1"/>
  </si>
  <si>
    <t>Fruit Cup</t>
    <phoneticPr fontId="1"/>
  </si>
  <si>
    <t>Boomerang Cup</t>
    <phoneticPr fontId="1"/>
  </si>
  <si>
    <t>trackKind</t>
    <phoneticPr fontId="1"/>
  </si>
  <si>
    <t>n</t>
    <phoneticPr fontId="1"/>
  </si>
  <si>
    <t>d</t>
    <phoneticPr fontId="1"/>
  </si>
  <si>
    <t>r</t>
    <phoneticPr fontId="1"/>
  </si>
  <si>
    <t>b</t>
    <phoneticPr fontId="1"/>
  </si>
  <si>
    <t>d1</t>
    <phoneticPr fontId="1"/>
  </si>
  <si>
    <t>d2</t>
    <phoneticPr fontId="1"/>
  </si>
  <si>
    <t>b1</t>
    <phoneticPr fontId="1"/>
  </si>
  <si>
    <t>b2</t>
    <phoneticPr fontId="1"/>
  </si>
  <si>
    <t>b3</t>
    <phoneticPr fontId="1"/>
  </si>
  <si>
    <t>b4</t>
    <phoneticPr fontId="1"/>
  </si>
  <si>
    <t>サンシャインくうこう</t>
    <phoneticPr fontId="1"/>
  </si>
  <si>
    <t>Wii モーモーカントリー</t>
    <phoneticPr fontId="1"/>
  </si>
  <si>
    <t>GBA マリオサーキット</t>
    <phoneticPr fontId="1"/>
  </si>
  <si>
    <t>DS プクプクビーチ</t>
    <phoneticPr fontId="1"/>
  </si>
  <si>
    <t>N64 キノピオハイウェイ</t>
    <phoneticPr fontId="1"/>
  </si>
  <si>
    <t>GC カラカラさばく</t>
    <phoneticPr fontId="1"/>
  </si>
  <si>
    <t>SFC ドーナツへいや3</t>
    <phoneticPr fontId="1"/>
  </si>
  <si>
    <t>N64 ピーチサーキット</t>
    <phoneticPr fontId="1"/>
  </si>
  <si>
    <t>3DS DKジャングル</t>
    <phoneticPr fontId="1"/>
  </si>
  <si>
    <t>DS ワリオスタジアム</t>
    <phoneticPr fontId="1"/>
  </si>
  <si>
    <t>GC シャーベットランド</t>
    <phoneticPr fontId="1"/>
  </si>
  <si>
    <t>3DS ミュージックパーク</t>
    <phoneticPr fontId="1"/>
  </si>
  <si>
    <t>N64 ヨッシーバレー</t>
    <phoneticPr fontId="1"/>
  </si>
  <si>
    <t>DS チクタクロック</t>
    <phoneticPr fontId="1"/>
  </si>
  <si>
    <t>3DS パックンスライダー</t>
    <phoneticPr fontId="1"/>
  </si>
  <si>
    <t>Wii グラグラかざん</t>
    <phoneticPr fontId="1"/>
  </si>
  <si>
    <t>N64 レインボーロード</t>
    <phoneticPr fontId="1"/>
  </si>
  <si>
    <t>GC ヨッシーサーキット</t>
    <phoneticPr fontId="1"/>
  </si>
  <si>
    <t>Wii ワリオこうざん</t>
    <phoneticPr fontId="1"/>
  </si>
  <si>
    <t>SFC レインボーロード</t>
    <phoneticPr fontId="1"/>
  </si>
  <si>
    <t>GC ベビィパーク</t>
    <phoneticPr fontId="1"/>
  </si>
  <si>
    <t>GBA チーズランド</t>
    <phoneticPr fontId="1"/>
  </si>
  <si>
    <t>3DS ネオクッパシティ</t>
    <phoneticPr fontId="1"/>
  </si>
  <si>
    <t>GBA リボンロード</t>
    <phoneticPr fontId="1"/>
  </si>
  <si>
    <t>3DS キノピオサーキット</t>
    <phoneticPr fontId="1"/>
  </si>
  <si>
    <t>N64 チョコマウンテン</t>
    <phoneticPr fontId="1"/>
  </si>
  <si>
    <t>Wii ココナッツモール</t>
    <phoneticPr fontId="1"/>
  </si>
  <si>
    <t>Tour トーキョースクランブル</t>
    <phoneticPr fontId="1"/>
  </si>
  <si>
    <t>DS キノコリッジウェイ</t>
    <phoneticPr fontId="1"/>
  </si>
  <si>
    <t>GBA スカイガーデン</t>
    <phoneticPr fontId="1"/>
  </si>
  <si>
    <t>Tour ニンニンドージョー</t>
    <phoneticPr fontId="1"/>
  </si>
  <si>
    <t>Tour ニューヨークドリーム</t>
    <phoneticPr fontId="1"/>
  </si>
  <si>
    <t>SFC マリオサーキット3</t>
    <phoneticPr fontId="1"/>
  </si>
  <si>
    <t>N64 カラカラさばく</t>
    <phoneticPr fontId="1"/>
  </si>
  <si>
    <t>DS ワルイージピンボール</t>
    <phoneticPr fontId="1"/>
  </si>
  <si>
    <t>Tour シドニーサンシャイン</t>
    <phoneticPr fontId="1"/>
  </si>
  <si>
    <t>GBA スノーランド</t>
    <phoneticPr fontId="1"/>
  </si>
  <si>
    <t>Wii キノコキャニオン</t>
    <phoneticPr fontId="1"/>
  </si>
  <si>
    <t>Tour ロンドンアベニュー</t>
    <phoneticPr fontId="1"/>
  </si>
  <si>
    <t>GBA テレサレイク</t>
    <phoneticPr fontId="1"/>
  </si>
  <si>
    <t>3DS ロックロックマウンテン</t>
    <phoneticPr fontId="1"/>
  </si>
  <si>
    <t>Wii メイプルツリーハウス</t>
    <phoneticPr fontId="1"/>
  </si>
  <si>
    <t>Tour ベルリンシュトラーセ</t>
    <phoneticPr fontId="1"/>
  </si>
  <si>
    <t>DS ピーチガーデン</t>
    <phoneticPr fontId="1"/>
  </si>
  <si>
    <t>Tour メリーメリーマウンテン</t>
    <phoneticPr fontId="1"/>
  </si>
  <si>
    <t>3DS レインボーロード</t>
    <phoneticPr fontId="1"/>
  </si>
  <si>
    <t>Tour アムステルダムブルーム</t>
    <phoneticPr fontId="1"/>
  </si>
  <si>
    <t>GBA リバーサイドパーク</t>
    <phoneticPr fontId="1"/>
  </si>
  <si>
    <t>Wii DKスノーボードクロス</t>
    <phoneticPr fontId="1"/>
  </si>
  <si>
    <t>ヨッシーアイランド</t>
    <phoneticPr fontId="1"/>
  </si>
  <si>
    <t>Tour バンコクラッシュ</t>
    <phoneticPr fontId="1"/>
  </si>
  <si>
    <t>GC ワルイージスタジアム</t>
    <phoneticPr fontId="1"/>
  </si>
  <si>
    <t>Tour シンガポールスプラッシュ</t>
    <phoneticPr fontId="1"/>
  </si>
  <si>
    <t>trackNameJp</t>
    <phoneticPr fontId="1"/>
  </si>
  <si>
    <t>trackNameEn</t>
    <phoneticPr fontId="1"/>
  </si>
  <si>
    <t>Mario Kart Stadium</t>
    <phoneticPr fontId="1"/>
  </si>
  <si>
    <t>Water Park</t>
    <phoneticPr fontId="1"/>
  </si>
  <si>
    <t>Sweet Sweet Canyon</t>
    <phoneticPr fontId="1"/>
  </si>
  <si>
    <t>Thwomp Ruins</t>
    <phoneticPr fontId="1"/>
  </si>
  <si>
    <t>Mario Circuit</t>
    <phoneticPr fontId="1"/>
  </si>
  <si>
    <t>Toad Harbor</t>
    <phoneticPr fontId="1"/>
  </si>
  <si>
    <t>Twisted Mansion</t>
    <phoneticPr fontId="1"/>
  </si>
  <si>
    <t>Shy Guy Falls</t>
    <phoneticPr fontId="1"/>
  </si>
  <si>
    <t>Sunshine Airport</t>
    <phoneticPr fontId="1"/>
  </si>
  <si>
    <t>Dolphin Shoals</t>
    <phoneticPr fontId="1"/>
  </si>
  <si>
    <t>Electrodrome</t>
    <phoneticPr fontId="1"/>
  </si>
  <si>
    <t>Mount Wario</t>
    <phoneticPr fontId="1"/>
  </si>
  <si>
    <t>Cloudtop Cruise</t>
    <phoneticPr fontId="1"/>
  </si>
  <si>
    <t>Bone Dry Dunes</t>
    <phoneticPr fontId="1"/>
  </si>
  <si>
    <t>Bowser's Castle</t>
    <phoneticPr fontId="1"/>
  </si>
  <si>
    <t>Rainbow Road</t>
    <phoneticPr fontId="1"/>
  </si>
  <si>
    <t>Wii Moo Moo Meadows</t>
    <phoneticPr fontId="1"/>
  </si>
  <si>
    <t>GBA Mario Circuit</t>
    <phoneticPr fontId="1"/>
  </si>
  <si>
    <t>DS Cheap Cheap Beach</t>
    <phoneticPr fontId="1"/>
  </si>
  <si>
    <t>N64 Toad's Turnpike</t>
    <phoneticPr fontId="1"/>
  </si>
  <si>
    <t>GCN Dry Dry Desert</t>
    <phoneticPr fontId="1"/>
  </si>
  <si>
    <t>SNES Donut Plains 3</t>
    <phoneticPr fontId="1"/>
  </si>
  <si>
    <t>N64 Royal Raceway</t>
    <phoneticPr fontId="1"/>
  </si>
  <si>
    <t>3DS DK Jungle</t>
    <phoneticPr fontId="1"/>
  </si>
  <si>
    <t>DS Wario Stadium</t>
    <phoneticPr fontId="1"/>
  </si>
  <si>
    <t>GCN Sherbet Land</t>
    <phoneticPr fontId="1"/>
  </si>
  <si>
    <t>3DS Music Park</t>
    <phoneticPr fontId="1"/>
  </si>
  <si>
    <t>N64 Yoshi Valley</t>
    <phoneticPr fontId="1"/>
  </si>
  <si>
    <t>DS Tick Tock Clock</t>
    <phoneticPr fontId="1"/>
  </si>
  <si>
    <t>3DS Piranha Plant Slide</t>
    <phoneticPr fontId="1"/>
  </si>
  <si>
    <t>Wii Grumble Volcano</t>
    <phoneticPr fontId="1"/>
  </si>
  <si>
    <t>N64 Rainbow Road</t>
    <phoneticPr fontId="1"/>
  </si>
  <si>
    <t>GCN Yoshi's Circuit</t>
    <phoneticPr fontId="1"/>
  </si>
  <si>
    <t>Excitebike Arena</t>
    <phoneticPr fontId="1"/>
  </si>
  <si>
    <t>Dragon Driftway</t>
    <phoneticPr fontId="1"/>
  </si>
  <si>
    <t>Mute City</t>
    <phoneticPr fontId="1"/>
  </si>
  <si>
    <t>Wii Wario's Gold Mine</t>
    <phoneticPr fontId="1"/>
  </si>
  <si>
    <t>SNES Rainbow Road</t>
    <phoneticPr fontId="1"/>
  </si>
  <si>
    <t>Ice Ice Outpost</t>
    <phoneticPr fontId="1"/>
  </si>
  <si>
    <t>Hyrule Circuit</t>
    <phoneticPr fontId="1"/>
  </si>
  <si>
    <t>GCN Baby Park</t>
    <phoneticPr fontId="1"/>
  </si>
  <si>
    <t>GBA Cheese Land</t>
    <phoneticPr fontId="1"/>
  </si>
  <si>
    <t>Wild Woods</t>
    <phoneticPr fontId="1"/>
  </si>
  <si>
    <t>Animal Crossing</t>
    <phoneticPr fontId="1"/>
  </si>
  <si>
    <t>3DS Neo Bowser City</t>
    <phoneticPr fontId="1"/>
  </si>
  <si>
    <t>GBA Ribbon Road</t>
    <phoneticPr fontId="1"/>
  </si>
  <si>
    <t>Super Bell Subway</t>
    <phoneticPr fontId="1"/>
  </si>
  <si>
    <t>Big Blue</t>
    <phoneticPr fontId="1"/>
  </si>
  <si>
    <t>3DS Toad Circuit</t>
    <phoneticPr fontId="1"/>
  </si>
  <si>
    <t>N64 Choco Mountain</t>
    <phoneticPr fontId="1"/>
  </si>
  <si>
    <t>Wii Coconut Mall</t>
    <phoneticPr fontId="1"/>
  </si>
  <si>
    <t>Tour Tokyo Blur</t>
    <phoneticPr fontId="1"/>
  </si>
  <si>
    <t>DS Shroom Ridge</t>
    <phoneticPr fontId="1"/>
  </si>
  <si>
    <t>GBA Sky Garden</t>
    <phoneticPr fontId="1"/>
  </si>
  <si>
    <t>Tour Ninja Hideaway</t>
    <phoneticPr fontId="1"/>
  </si>
  <si>
    <t>Tour New York Minute</t>
    <phoneticPr fontId="1"/>
  </si>
  <si>
    <t>N64 Kalimari Desert</t>
    <phoneticPr fontId="1"/>
  </si>
  <si>
    <t>DS Waluigi Pinball</t>
    <phoneticPr fontId="1"/>
  </si>
  <si>
    <t>Tour Sydney Sprint</t>
    <phoneticPr fontId="1"/>
  </si>
  <si>
    <t>SNES Mario Circuit 3</t>
    <phoneticPr fontId="1"/>
  </si>
  <si>
    <t>GBA Snow Land</t>
    <phoneticPr fontId="1"/>
  </si>
  <si>
    <t>Wii Mushroom Gorge</t>
    <phoneticPr fontId="1"/>
  </si>
  <si>
    <t>Sky-high Sundae</t>
    <phoneticPr fontId="1"/>
  </si>
  <si>
    <t>Tour London Loop</t>
    <phoneticPr fontId="1"/>
  </si>
  <si>
    <t>GBA Boo Lake</t>
  </si>
  <si>
    <t>3DS Rock Rock Mountain</t>
    <phoneticPr fontId="1"/>
  </si>
  <si>
    <t>Wii Maple Treeway</t>
    <phoneticPr fontId="1"/>
  </si>
  <si>
    <t>Tour Berlin Byways</t>
  </si>
  <si>
    <t>DS Peach Garden</t>
    <phoneticPr fontId="1"/>
  </si>
  <si>
    <t>Tour Merry Mountain</t>
    <phoneticPr fontId="1"/>
  </si>
  <si>
    <t>3DS Rainbow Road</t>
    <phoneticPr fontId="1"/>
  </si>
  <si>
    <t>Tour Amsterdam Drift</t>
    <phoneticPr fontId="1"/>
  </si>
  <si>
    <t>GBA Riverside Park</t>
    <phoneticPr fontId="1"/>
  </si>
  <si>
    <t>Wii DK Summit</t>
    <phoneticPr fontId="1"/>
  </si>
  <si>
    <t>Yoshi's Island</t>
    <phoneticPr fontId="1"/>
  </si>
  <si>
    <t>Tour Bangkok Rush</t>
    <phoneticPr fontId="1"/>
  </si>
  <si>
    <t>DS Mario Circuit</t>
    <phoneticPr fontId="1"/>
  </si>
  <si>
    <t>DS マリオサーキット</t>
    <phoneticPr fontId="1"/>
  </si>
  <si>
    <t>Tour Singapore Speedway</t>
    <phoneticPr fontId="1"/>
  </si>
  <si>
    <t>GCN Waluigi Stadium</t>
    <phoneticPr fontId="1"/>
  </si>
  <si>
    <t>bAD</t>
    <phoneticPr fontId="1"/>
  </si>
  <si>
    <t>bRP</t>
    <phoneticPr fontId="1"/>
  </si>
  <si>
    <t>bDS</t>
    <phoneticPr fontId="1"/>
  </si>
  <si>
    <t>bYI</t>
    <phoneticPr fontId="1"/>
  </si>
  <si>
    <t>bBR</t>
    <phoneticPr fontId="1"/>
  </si>
  <si>
    <t>bMC</t>
    <phoneticPr fontId="1"/>
  </si>
  <si>
    <t>bWS</t>
    <phoneticPr fontId="1"/>
  </si>
  <si>
    <t>bSSy</t>
    <phoneticPr fontId="1"/>
  </si>
  <si>
    <t>displayOrder</t>
    <phoneticPr fontId="1"/>
  </si>
  <si>
    <t>wii</t>
    <phoneticPr fontId="1"/>
  </si>
  <si>
    <t>gba</t>
    <phoneticPr fontId="1"/>
  </si>
  <si>
    <t>ds</t>
    <phoneticPr fontId="1"/>
  </si>
  <si>
    <t>n64</t>
    <phoneticPr fontId="1"/>
  </si>
  <si>
    <t>gc</t>
    <phoneticPr fontId="1"/>
  </si>
  <si>
    <t>sfc</t>
    <phoneticPr fontId="1"/>
  </si>
  <si>
    <t>3ds</t>
    <phoneticPr fontId="1"/>
  </si>
  <si>
    <t>tour</t>
    <phoneticPr fontId="1"/>
  </si>
  <si>
    <t>versionKey</t>
    <phoneticPr fontId="1"/>
  </si>
  <si>
    <t>versionNameJp</t>
    <phoneticPr fontId="1"/>
  </si>
  <si>
    <t>versionNameEn</t>
    <phoneticPr fontId="1"/>
  </si>
  <si>
    <t>sfc</t>
    <phoneticPr fontId="1"/>
  </si>
  <si>
    <t>n64</t>
    <phoneticPr fontId="1"/>
  </si>
  <si>
    <t>gba</t>
    <phoneticPr fontId="1"/>
  </si>
  <si>
    <t>gc</t>
    <phoneticPr fontId="1"/>
  </si>
  <si>
    <t>ds</t>
    <phoneticPr fontId="1"/>
  </si>
  <si>
    <t>wii</t>
    <phoneticPr fontId="1"/>
  </si>
  <si>
    <t>3ds</t>
    <phoneticPr fontId="1"/>
  </si>
  <si>
    <t>wiiu</t>
    <phoneticPr fontId="1"/>
  </si>
  <si>
    <t>wiiu</t>
    <phoneticPr fontId="1"/>
  </si>
  <si>
    <t>switch</t>
    <phoneticPr fontId="1"/>
  </si>
  <si>
    <t>tour</t>
    <phoneticPr fontId="1"/>
  </si>
  <si>
    <t>SFC</t>
    <phoneticPr fontId="1"/>
  </si>
  <si>
    <t>N64</t>
    <phoneticPr fontId="1"/>
  </si>
  <si>
    <t>GBA</t>
    <phoneticPr fontId="1"/>
  </si>
  <si>
    <t>GC</t>
    <phoneticPr fontId="1"/>
  </si>
  <si>
    <t>Wii</t>
    <phoneticPr fontId="1"/>
  </si>
  <si>
    <t>3DS</t>
    <phoneticPr fontId="1"/>
  </si>
  <si>
    <t>WiiU</t>
    <phoneticPr fontId="1"/>
  </si>
  <si>
    <t>Switch</t>
    <phoneticPr fontId="1"/>
  </si>
  <si>
    <t>Tour</t>
    <phoneticPr fontId="1"/>
  </si>
  <si>
    <t>SNES</t>
    <phoneticPr fontId="1"/>
  </si>
  <si>
    <t>GCN</t>
    <phoneticPr fontId="1"/>
  </si>
  <si>
    <t>3DS</t>
    <phoneticPr fontId="1"/>
  </si>
  <si>
    <t>switch</t>
    <phoneticPr fontId="1"/>
  </si>
  <si>
    <t>loungeTierKey</t>
    <phoneticPr fontId="1"/>
  </si>
  <si>
    <t>x</t>
    <phoneticPr fontId="1"/>
  </si>
  <si>
    <t>s</t>
    <phoneticPr fontId="1"/>
  </si>
  <si>
    <t>a</t>
    <phoneticPr fontId="1"/>
  </si>
  <si>
    <t>ab</t>
    <phoneticPr fontId="1"/>
  </si>
  <si>
    <t>bc</t>
    <phoneticPr fontId="1"/>
  </si>
  <si>
    <t>c</t>
    <phoneticPr fontId="1"/>
  </si>
  <si>
    <t>cd</t>
    <phoneticPr fontId="1"/>
  </si>
  <si>
    <t>de</t>
    <phoneticPr fontId="1"/>
  </si>
  <si>
    <t>e</t>
    <phoneticPr fontId="1"/>
  </si>
  <si>
    <t>ef</t>
    <phoneticPr fontId="1"/>
  </si>
  <si>
    <t>f</t>
    <phoneticPr fontId="1"/>
  </si>
  <si>
    <t>fg</t>
    <phoneticPr fontId="1"/>
  </si>
  <si>
    <t>g</t>
    <phoneticPr fontId="1"/>
  </si>
  <si>
    <t>loungeTierName</t>
    <phoneticPr fontId="1"/>
  </si>
  <si>
    <t>tier-X</t>
    <phoneticPr fontId="1"/>
  </si>
  <si>
    <t>tier-S</t>
    <phoneticPr fontId="1"/>
  </si>
  <si>
    <t>tier-A</t>
    <phoneticPr fontId="1"/>
  </si>
  <si>
    <t>tier-AB</t>
    <phoneticPr fontId="1"/>
  </si>
  <si>
    <t>tier-B</t>
    <phoneticPr fontId="1"/>
  </si>
  <si>
    <t>tier-BC</t>
    <phoneticPr fontId="1"/>
  </si>
  <si>
    <t>tier-C</t>
    <phoneticPr fontId="1"/>
  </si>
  <si>
    <t>tier-CD</t>
    <phoneticPr fontId="1"/>
  </si>
  <si>
    <t>tier-D</t>
    <phoneticPr fontId="1"/>
  </si>
  <si>
    <t>tier-DE</t>
    <phoneticPr fontId="1"/>
  </si>
  <si>
    <t>tier-E</t>
    <phoneticPr fontId="1"/>
  </si>
  <si>
    <t>tier-EF</t>
    <phoneticPr fontId="1"/>
  </si>
  <si>
    <t>tier-F</t>
    <phoneticPr fontId="1"/>
  </si>
  <si>
    <t>tier-FG</t>
    <phoneticPr fontId="1"/>
  </si>
  <si>
    <t>tier-G</t>
    <phoneticPr fontId="1"/>
  </si>
  <si>
    <t>Rank</t>
    <phoneticPr fontId="1"/>
  </si>
  <si>
    <t>Point</t>
    <phoneticPr fontId="1"/>
  </si>
  <si>
    <t>言語 / Language</t>
    <rPh sb="0" eb="2">
      <t>ゲンゴ</t>
    </rPh>
    <phoneticPr fontId="1"/>
  </si>
  <si>
    <t>languageKey</t>
    <phoneticPr fontId="1"/>
  </si>
  <si>
    <t>languageName</t>
    <phoneticPr fontId="1"/>
  </si>
  <si>
    <t>jp</t>
    <phoneticPr fontId="1"/>
  </si>
  <si>
    <t>en</t>
    <phoneticPr fontId="1"/>
  </si>
  <si>
    <t>日本語</t>
    <rPh sb="0" eb="3">
      <t>ニホンゴ</t>
    </rPh>
    <phoneticPr fontId="1"/>
  </si>
  <si>
    <t>English</t>
    <phoneticPr fontId="1"/>
  </si>
  <si>
    <t>設定 / Settings</t>
    <rPh sb="0" eb="2">
      <t>セッテイ</t>
    </rPh>
    <phoneticPr fontId="1"/>
  </si>
  <si>
    <t>Tour パリプロムナード</t>
    <phoneticPr fontId="1"/>
  </si>
  <si>
    <t>Tour Paris Promenade</t>
    <phoneticPr fontId="1"/>
  </si>
  <si>
    <t>計 / Total</t>
    <rPh sb="0" eb="1">
      <t>ケイ</t>
    </rPh>
    <phoneticPr fontId="1"/>
  </si>
  <si>
    <t xml:space="preserve"> </t>
    <phoneticPr fontId="1"/>
  </si>
  <si>
    <t>o</t>
    <phoneticPr fontId="1"/>
  </si>
  <si>
    <t>others</t>
    <phoneticPr fontId="1"/>
  </si>
  <si>
    <t>formatKey</t>
    <phoneticPr fontId="1"/>
  </si>
  <si>
    <t>formatName</t>
    <phoneticPr fontId="1"/>
  </si>
  <si>
    <t>FFA</t>
    <phoneticPr fontId="1"/>
  </si>
  <si>
    <t>2v2</t>
    <phoneticPr fontId="1"/>
  </si>
  <si>
    <t>3v3</t>
    <phoneticPr fontId="1"/>
  </si>
  <si>
    <t>4v4</t>
    <phoneticPr fontId="1"/>
  </si>
  <si>
    <t>6v6</t>
    <phoneticPr fontId="1"/>
  </si>
  <si>
    <t>模擬tier / Match tier</t>
    <rPh sb="0" eb="2">
      <t>モギ</t>
    </rPh>
    <phoneticPr fontId="1"/>
  </si>
  <si>
    <t>形式 / Format</t>
    <rPh sb="0" eb="2">
      <t>ケイシキ</t>
    </rPh>
    <phoneticPr fontId="1"/>
  </si>
  <si>
    <t>コース名 / Track name</t>
    <rPh sb="3" eb="4">
      <t>メイ</t>
    </rPh>
    <phoneticPr fontId="1"/>
  </si>
  <si>
    <t>registKey</t>
    <phoneticPr fontId="1"/>
  </si>
  <si>
    <t>date</t>
    <phoneticPr fontId="1"/>
  </si>
  <si>
    <t>tier</t>
    <phoneticPr fontId="1"/>
  </si>
  <si>
    <t>format</t>
    <phoneticPr fontId="1"/>
  </si>
  <si>
    <t>startingRank</t>
    <phoneticPr fontId="1"/>
  </si>
  <si>
    <t>detail</t>
    <phoneticPr fontId="1"/>
  </si>
  <si>
    <t>未選択</t>
    <phoneticPr fontId="1"/>
  </si>
  <si>
    <t>コースを選択</t>
    <phoneticPr fontId="1"/>
  </si>
  <si>
    <t>データ登録 / Regist data</t>
    <phoneticPr fontId="1"/>
  </si>
  <si>
    <t>resultRank</t>
    <phoneticPr fontId="1"/>
  </si>
  <si>
    <t>resultPoint</t>
    <phoneticPr fontId="1"/>
  </si>
  <si>
    <t>行ラベル</t>
  </si>
  <si>
    <t>総計</t>
  </si>
  <si>
    <t>Ave. rank</t>
  </si>
  <si>
    <t>Ave. points</t>
  </si>
  <si>
    <t>(すべて)</t>
  </si>
  <si>
    <t>スタート順位 / Starting rank</t>
  </si>
  <si>
    <t>回数 / Times</t>
  </si>
  <si>
    <t>備考 / Detail</t>
  </si>
  <si>
    <t>備考 / Detail</t>
    <rPh sb="0" eb="2">
      <t>ビコウ</t>
    </rPh>
    <phoneticPr fontId="1"/>
  </si>
  <si>
    <t>規定レース数 / Min. number of races</t>
    <rPh sb="0" eb="2">
      <t>キテイ</t>
    </rPh>
    <rPh sb="5" eb="6">
      <t>スウ</t>
    </rPh>
    <phoneticPr fontId="1"/>
  </si>
  <si>
    <t>模擬tier / Match tier</t>
  </si>
  <si>
    <t>形式 / Format</t>
  </si>
  <si>
    <t>Tour アテネポリス</t>
    <phoneticPr fontId="1"/>
  </si>
  <si>
    <t>GC デイジークルーザー</t>
    <phoneticPr fontId="1"/>
  </si>
  <si>
    <t>Wii ムーンリッジ＆ハイウェイ</t>
    <phoneticPr fontId="1"/>
  </si>
  <si>
    <t>シャボンロード</t>
    <phoneticPr fontId="1"/>
  </si>
  <si>
    <t>Tour ロサンゼルスコースト</t>
    <phoneticPr fontId="1"/>
  </si>
  <si>
    <t>GBA サンセットこうや</t>
    <phoneticPr fontId="1"/>
  </si>
  <si>
    <t>Wii ノコノコみさき</t>
    <phoneticPr fontId="1"/>
  </si>
  <si>
    <t>Tour バンクーバーバレー</t>
    <phoneticPr fontId="1"/>
  </si>
  <si>
    <t>Tour Athen Dash</t>
    <phoneticPr fontId="1"/>
  </si>
  <si>
    <t>CGN Daisy Cruiser</t>
    <phoneticPr fontId="1"/>
  </si>
  <si>
    <t>Wii Moonview Highway</t>
    <phoneticPr fontId="1"/>
  </si>
  <si>
    <t>Squeaky Clean Sprint</t>
    <phoneticPr fontId="1"/>
  </si>
  <si>
    <t>Tour Los Angeles Laps</t>
    <phoneticPr fontId="1"/>
  </si>
  <si>
    <t>GBA Sunset Wilds</t>
    <phoneticPr fontId="1"/>
  </si>
  <si>
    <t>Wii Koopa Cape</t>
    <phoneticPr fontId="1"/>
  </si>
  <si>
    <t>Tour Vancouver Velocity</t>
    <phoneticPr fontId="1"/>
  </si>
  <si>
    <t>bADa</t>
    <phoneticPr fontId="1"/>
  </si>
  <si>
    <t>bDC</t>
    <phoneticPr fontId="1"/>
  </si>
  <si>
    <t>bMH</t>
    <phoneticPr fontId="1"/>
  </si>
  <si>
    <t>bSC</t>
    <phoneticPr fontId="1"/>
  </si>
  <si>
    <t>bLAL</t>
    <phoneticPr fontId="1"/>
  </si>
  <si>
    <t>bSW</t>
    <phoneticPr fontId="1"/>
  </si>
  <si>
    <t>bKC</t>
    <phoneticPr fontId="1"/>
  </si>
  <si>
    <t>bVV</t>
    <phoneticPr fontId="1"/>
  </si>
  <si>
    <t>tour</t>
    <phoneticPr fontId="1"/>
  </si>
  <si>
    <t>gc</t>
    <phoneticPr fontId="1"/>
  </si>
  <si>
    <t>wii</t>
    <phoneticPr fontId="1"/>
  </si>
  <si>
    <t>switch</t>
    <phoneticPr fontId="1"/>
  </si>
  <si>
    <t>gba</t>
    <phoneticPr fontId="1"/>
  </si>
  <si>
    <t>feather</t>
    <phoneticPr fontId="1"/>
  </si>
  <si>
    <t>ハネカップ</t>
    <phoneticPr fontId="1"/>
  </si>
  <si>
    <t>Feather Cup</t>
    <phoneticPr fontId="1"/>
  </si>
  <si>
    <t>b5</t>
    <phoneticPr fontId="1"/>
  </si>
  <si>
    <t>Cherry Cup</t>
    <phoneticPr fontId="1"/>
  </si>
  <si>
    <t>チェリーカップ</t>
    <phoneticPr fontId="1"/>
  </si>
  <si>
    <t>cherry</t>
    <phoneticPr fontId="1"/>
  </si>
  <si>
    <t>順位 /
 Rank</t>
    <rPh sb="0" eb="2">
      <t>ジュンイ</t>
    </rPh>
    <phoneticPr fontId="1"/>
  </si>
  <si>
    <t>スタート位置 /
 Starting pos.</t>
    <rPh sb="4" eb="6">
      <t>イチ</t>
    </rPh>
    <phoneticPr fontId="1"/>
  </si>
  <si>
    <t>pts</t>
    <phoneticPr fontId="1"/>
  </si>
  <si>
    <t>Tour ローマアバンティ</t>
    <phoneticPr fontId="1"/>
  </si>
  <si>
    <t>GC DKマウンテン</t>
  </si>
  <si>
    <t>Wii デイジーサーキット</t>
    <phoneticPr fontId="1"/>
  </si>
  <si>
    <t>Tour パックンしんでん</t>
    <phoneticPr fontId="1"/>
  </si>
  <si>
    <t>Wii レインボーロード</t>
    <phoneticPr fontId="1"/>
  </si>
  <si>
    <t>SFC クッパじょう3</t>
  </si>
  <si>
    <t>3DS ロゼッタプラネット</t>
  </si>
  <si>
    <t>Tour マドリードグランデ</t>
  </si>
  <si>
    <t>Tour Rome Avanty</t>
    <phoneticPr fontId="1"/>
  </si>
  <si>
    <t>GCN DK Mountain</t>
    <phoneticPr fontId="1"/>
  </si>
  <si>
    <t>Wii Daisy Circuit</t>
    <phoneticPr fontId="1"/>
  </si>
  <si>
    <t>Tour Piranha Plant Cove</t>
    <phoneticPr fontId="1"/>
  </si>
  <si>
    <t>Tour Madrid Drive</t>
    <phoneticPr fontId="1"/>
  </si>
  <si>
    <t>3DS Rosalina's Ice World</t>
    <phoneticPr fontId="1"/>
  </si>
  <si>
    <t>SNES Bowser's Castle 3</t>
    <phoneticPr fontId="1"/>
  </si>
  <si>
    <t>Wii Rainbow Road</t>
    <phoneticPr fontId="1"/>
  </si>
  <si>
    <t>tour</t>
    <phoneticPr fontId="1"/>
  </si>
  <si>
    <t>gc</t>
    <phoneticPr fontId="1"/>
  </si>
  <si>
    <t>wii</t>
    <phoneticPr fontId="1"/>
  </si>
  <si>
    <t>3ds</t>
    <phoneticPr fontId="1"/>
  </si>
  <si>
    <t>sfc</t>
    <phoneticPr fontId="1"/>
  </si>
  <si>
    <t xml:space="preserve">acorn </t>
    <phoneticPr fontId="1"/>
  </si>
  <si>
    <t xml:space="preserve">spiny </t>
    <phoneticPr fontId="1"/>
  </si>
  <si>
    <t>bRA</t>
    <phoneticPr fontId="1"/>
  </si>
  <si>
    <t>bDKM</t>
    <phoneticPr fontId="1"/>
  </si>
  <si>
    <t>bDCi</t>
    <phoneticPr fontId="1"/>
  </si>
  <si>
    <t>bPPC</t>
    <phoneticPr fontId="1"/>
  </si>
  <si>
    <t>bMD</t>
    <phoneticPr fontId="1"/>
  </si>
  <si>
    <t>bRIW</t>
    <phoneticPr fontId="1"/>
  </si>
  <si>
    <t>bBC3</t>
    <phoneticPr fontId="1"/>
  </si>
  <si>
    <t>bRR</t>
    <phoneticPr fontId="1"/>
  </si>
  <si>
    <t>acorn</t>
    <phoneticPr fontId="1"/>
  </si>
  <si>
    <t>spiny</t>
    <phoneticPr fontId="1"/>
  </si>
  <si>
    <t>ドングリカップ</t>
    <phoneticPr fontId="1"/>
  </si>
  <si>
    <t>トゲゾーカップ</t>
    <phoneticPr fontId="1"/>
  </si>
  <si>
    <t>Acorn Cup</t>
    <phoneticPr fontId="1"/>
  </si>
  <si>
    <t>Spiny Cup</t>
    <phoneticPr fontId="1"/>
  </si>
  <si>
    <t>b6</t>
    <phoneticPr fontId="1"/>
  </si>
  <si>
    <t>imgFileName</t>
    <phoneticPr fontId="1"/>
  </si>
  <si>
    <t>01.png</t>
    <phoneticPr fontId="1"/>
  </si>
  <si>
    <t>02.png</t>
    <phoneticPr fontId="1"/>
  </si>
  <si>
    <t>10.png</t>
  </si>
  <si>
    <t>11.png</t>
  </si>
  <si>
    <t>12.png</t>
  </si>
  <si>
    <t>13.png</t>
  </si>
  <si>
    <t>14.png</t>
  </si>
  <si>
    <t>15.png</t>
  </si>
  <si>
    <t>16.png</t>
  </si>
  <si>
    <t>17.png</t>
  </si>
  <si>
    <t>18.png</t>
  </si>
  <si>
    <t>19.png</t>
  </si>
  <si>
    <t>20.png</t>
  </si>
  <si>
    <t>21.png</t>
  </si>
  <si>
    <t>22.png</t>
  </si>
  <si>
    <t>23.png</t>
  </si>
  <si>
    <t>24.png</t>
  </si>
  <si>
    <t>25.png</t>
  </si>
  <si>
    <t>26.png</t>
  </si>
  <si>
    <t>27.png</t>
  </si>
  <si>
    <t>28.png</t>
  </si>
  <si>
    <t>29.png</t>
  </si>
  <si>
    <t>30.png</t>
  </si>
  <si>
    <t>31.png</t>
  </si>
  <si>
    <t>32.png</t>
  </si>
  <si>
    <t>33.png</t>
  </si>
  <si>
    <t>34.png</t>
  </si>
  <si>
    <t>35.png</t>
  </si>
  <si>
    <t>36.png</t>
  </si>
  <si>
    <t>37.png</t>
  </si>
  <si>
    <t>38.png</t>
  </si>
  <si>
    <t>39.png</t>
  </si>
  <si>
    <t>40.png</t>
  </si>
  <si>
    <t>41.png</t>
  </si>
  <si>
    <t>42.png</t>
  </si>
  <si>
    <t>43.png</t>
  </si>
  <si>
    <t>44.png</t>
  </si>
  <si>
    <t>45.png</t>
  </si>
  <si>
    <t>46.png</t>
  </si>
  <si>
    <t>47.png</t>
  </si>
  <si>
    <t>48.png</t>
  </si>
  <si>
    <t>49.png</t>
  </si>
  <si>
    <t>50.png</t>
  </si>
  <si>
    <t>51.png</t>
  </si>
  <si>
    <t>52.png</t>
  </si>
  <si>
    <t>53.png</t>
  </si>
  <si>
    <t>54.png</t>
  </si>
  <si>
    <t>55.png</t>
  </si>
  <si>
    <t>56.png</t>
  </si>
  <si>
    <t>57.png</t>
  </si>
  <si>
    <t>58.png</t>
  </si>
  <si>
    <t>59.png</t>
  </si>
  <si>
    <t>60.png</t>
  </si>
  <si>
    <t>61.png</t>
  </si>
  <si>
    <t>62.png</t>
  </si>
  <si>
    <t>63.png</t>
  </si>
  <si>
    <t>64.png</t>
  </si>
  <si>
    <t>65.png</t>
  </si>
  <si>
    <t>66.png</t>
  </si>
  <si>
    <t>67.png</t>
  </si>
  <si>
    <t>68.png</t>
  </si>
  <si>
    <t>69.png</t>
  </si>
  <si>
    <t>70.png</t>
  </si>
  <si>
    <t>71.png</t>
  </si>
  <si>
    <t>72.png</t>
  </si>
  <si>
    <t>73.png</t>
  </si>
  <si>
    <t>74.png</t>
  </si>
  <si>
    <t>75.png</t>
  </si>
  <si>
    <t>76.png</t>
  </si>
  <si>
    <t>77.png</t>
  </si>
  <si>
    <t>78.png</t>
  </si>
  <si>
    <t>79.png</t>
  </si>
  <si>
    <t>80.png</t>
  </si>
  <si>
    <t>81.png</t>
  </si>
  <si>
    <t>82.png</t>
  </si>
  <si>
    <t>83.png</t>
  </si>
  <si>
    <t>84.png</t>
  </si>
  <si>
    <t>85.png</t>
  </si>
  <si>
    <t>86.png</t>
  </si>
  <si>
    <t>87.png</t>
  </si>
  <si>
    <t>88.png</t>
  </si>
  <si>
    <t>89.png</t>
  </si>
  <si>
    <t>90.png</t>
  </si>
  <si>
    <t>91.png</t>
  </si>
  <si>
    <t>92.png</t>
  </si>
  <si>
    <t>93.png</t>
  </si>
  <si>
    <t>94.png</t>
  </si>
  <si>
    <t>95.png</t>
  </si>
  <si>
    <t>96.png</t>
  </si>
  <si>
    <t>03.png</t>
    <phoneticPr fontId="1"/>
  </si>
  <si>
    <t>04.png</t>
    <phoneticPr fontId="1"/>
  </si>
  <si>
    <t>05.png</t>
    <phoneticPr fontId="1"/>
  </si>
  <si>
    <t>06.png</t>
    <phoneticPr fontId="1"/>
  </si>
  <si>
    <t>07.png</t>
    <phoneticPr fontId="1"/>
  </si>
  <si>
    <t>08.png</t>
    <phoneticPr fontId="1"/>
  </si>
  <si>
    <t>09.png</t>
    <phoneticPr fontId="1"/>
  </si>
  <si>
    <t>コースを選択</t>
    <phoneticPr fontId="1"/>
  </si>
  <si>
    <t>リンリンメトロ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</si>
</sst>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.00_ "/>
    <numFmt numFmtId="177" formatCode="0.0_ "/>
    <numFmt numFmtId="178" formatCode="0_ "/>
    <numFmt numFmtId="179" formatCode="000000"/>
    <numFmt numFmtId="180" formatCode="m/d/yyyy"/>
  </numFmts>
  <fonts count="1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0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b/>
      <sz val="8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64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4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2" borderId="0" xfId="0" applyFont="1" applyFill="1" applyAlignment="1">
      <alignment vertical="center" shrinkToFit="1"/>
    </xf>
    <xf numFmtId="0" fontId="0" fillId="2" borderId="0" xfId="0" applyFill="1" applyAlignment="1">
      <alignment vertical="center" shrinkToFit="1"/>
    </xf>
    <xf numFmtId="0" fontId="8" fillId="2" borderId="0" xfId="0" applyFont="1" applyFill="1" applyAlignment="1">
      <alignment horizontal="center" vertical="center" shrinkToFit="1"/>
    </xf>
    <xf numFmtId="0" fontId="2" fillId="2" borderId="0" xfId="0" applyFont="1" applyFill="1" applyAlignment="1">
      <alignment horizontal="center" vertical="center" shrinkToFit="1"/>
    </xf>
    <xf numFmtId="0" fontId="0" fillId="2" borderId="5" xfId="0" applyFill="1" applyBorder="1" applyAlignment="1">
      <alignment vertical="center" shrinkToFit="1"/>
    </xf>
    <xf numFmtId="0" fontId="0" fillId="2" borderId="0" xfId="0" applyFill="1" applyAlignment="1">
      <alignment horizontal="center" vertical="center" shrinkToFit="1"/>
    </xf>
    <xf numFmtId="0" fontId="0" fillId="3" borderId="6" xfId="0" applyFill="1" applyBorder="1" applyAlignment="1">
      <alignment vertical="center" shrinkToFit="1"/>
    </xf>
    <xf numFmtId="0" fontId="0" fillId="2" borderId="6" xfId="0" applyFill="1" applyBorder="1" applyAlignment="1">
      <alignment vertical="center" shrinkToFit="1"/>
    </xf>
    <xf numFmtId="0" fontId="0" fillId="3" borderId="11" xfId="0" applyFill="1" applyBorder="1" applyAlignment="1">
      <alignment vertical="center" shrinkToFit="1"/>
    </xf>
    <xf numFmtId="0" fontId="0" fillId="2" borderId="1" xfId="0" applyFill="1" applyBorder="1" applyAlignment="1">
      <alignment vertical="center" shrinkToFit="1"/>
    </xf>
    <xf numFmtId="0" fontId="6" fillId="2" borderId="3" xfId="0" applyFont="1" applyFill="1" applyBorder="1" applyAlignment="1">
      <alignment horizontal="right" vertical="center" shrinkToFit="1"/>
    </xf>
    <xf numFmtId="0" fontId="6" fillId="2" borderId="3" xfId="0" applyFont="1" applyFill="1" applyBorder="1" applyAlignment="1">
      <alignment vertical="center" shrinkToFit="1"/>
    </xf>
    <xf numFmtId="0" fontId="6" fillId="2" borderId="10" xfId="0" applyFont="1" applyFill="1" applyBorder="1" applyAlignment="1">
      <alignment vertical="center" shrinkToFit="1"/>
    </xf>
    <xf numFmtId="0" fontId="2" fillId="2" borderId="8" xfId="0" applyFont="1" applyFill="1" applyBorder="1" applyAlignment="1">
      <alignment horizontal="center" vertical="center" shrinkToFit="1"/>
    </xf>
    <xf numFmtId="0" fontId="2" fillId="2" borderId="3" xfId="0" applyFont="1" applyFill="1" applyBorder="1" applyAlignment="1">
      <alignment horizontal="center" vertical="center" shrinkToFit="1"/>
    </xf>
    <xf numFmtId="0" fontId="2" fillId="2" borderId="13" xfId="0" applyFont="1" applyFill="1" applyBorder="1" applyAlignment="1">
      <alignment horizontal="center" vertical="center" shrinkToFit="1"/>
    </xf>
    <xf numFmtId="0" fontId="2" fillId="2" borderId="1" xfId="0" applyFont="1" applyFill="1" applyBorder="1" applyAlignment="1">
      <alignment horizontal="center" vertical="center" shrinkToFit="1"/>
    </xf>
    <xf numFmtId="0" fontId="2" fillId="3" borderId="10" xfId="0" applyFont="1" applyFill="1" applyBorder="1" applyAlignment="1">
      <alignment horizontal="center" vertical="center" shrinkToFit="1"/>
    </xf>
    <xf numFmtId="0" fontId="2" fillId="3" borderId="3" xfId="0" applyFont="1" applyFill="1" applyBorder="1" applyAlignment="1">
      <alignment horizontal="center" vertical="center" shrinkToFit="1"/>
    </xf>
    <xf numFmtId="0" fontId="2" fillId="3" borderId="2" xfId="0" applyFont="1" applyFill="1" applyBorder="1" applyAlignment="1">
      <alignment horizontal="center" vertical="center" shrinkToFit="1"/>
    </xf>
    <xf numFmtId="0" fontId="4" fillId="2" borderId="12" xfId="0" applyFont="1" applyFill="1" applyBorder="1" applyAlignment="1" applyProtection="1">
      <alignment horizontal="center" vertical="center" shrinkToFit="1"/>
      <protection locked="0"/>
    </xf>
    <xf numFmtId="0" fontId="4" fillId="2" borderId="14" xfId="0" applyFont="1" applyFill="1" applyBorder="1" applyAlignment="1" applyProtection="1">
      <alignment horizontal="center" vertical="center" shrinkToFit="1"/>
      <protection locked="0"/>
    </xf>
    <xf numFmtId="0" fontId="0" fillId="2" borderId="0" xfId="0" applyFill="1" applyAlignment="1" applyProtection="1">
      <alignment horizontal="center" vertical="center" shrinkToFit="1"/>
      <protection locked="0"/>
    </xf>
    <xf numFmtId="0" fontId="0" fillId="2" borderId="4" xfId="0" applyFill="1" applyBorder="1" applyAlignment="1" applyProtection="1">
      <alignment vertical="center" shrinkToFit="1"/>
      <protection locked="0"/>
    </xf>
    <xf numFmtId="0" fontId="0" fillId="2" borderId="7" xfId="0" applyFill="1" applyBorder="1" applyAlignment="1" applyProtection="1">
      <alignment vertical="center" shrinkToFit="1"/>
      <protection locked="0"/>
    </xf>
    <xf numFmtId="0" fontId="0" fillId="3" borderId="0" xfId="0" applyFill="1" applyAlignment="1" applyProtection="1">
      <alignment horizontal="center" vertical="center" shrinkToFit="1"/>
      <protection locked="0"/>
    </xf>
    <xf numFmtId="0" fontId="0" fillId="3" borderId="7" xfId="0" applyFill="1" applyBorder="1" applyAlignment="1" applyProtection="1">
      <alignment vertical="center" shrinkToFit="1"/>
      <protection locked="0"/>
    </xf>
    <xf numFmtId="0" fontId="0" fillId="3" borderId="1" xfId="0" applyFill="1" applyBorder="1" applyAlignment="1" applyProtection="1">
      <alignment horizontal="center" vertical="center" shrinkToFit="1"/>
      <protection locked="0"/>
    </xf>
    <xf numFmtId="0" fontId="0" fillId="3" borderId="9" xfId="0" applyFill="1" applyBorder="1" applyAlignment="1" applyProtection="1">
      <alignment vertical="center" shrinkToFit="1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179" fontId="0" fillId="0" borderId="0" xfId="0" applyNumberFormat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8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9" fillId="3" borderId="2" xfId="0" applyFont="1" applyFill="1" applyBorder="1" applyAlignment="1">
      <alignment horizontal="center" vertical="center" wrapText="1" shrinkToFit="1"/>
    </xf>
    <xf numFmtId="0" fontId="5" fillId="2" borderId="5" xfId="0" applyFont="1" applyFill="1" applyBorder="1" applyAlignment="1">
      <alignment horizontal="center" vertical="center" shrinkToFit="1"/>
    </xf>
    <xf numFmtId="0" fontId="5" fillId="2" borderId="6" xfId="0" applyFont="1" applyFill="1" applyBorder="1" applyAlignment="1">
      <alignment horizontal="center" vertical="center" shrinkToFit="1"/>
    </xf>
    <xf numFmtId="0" fontId="4" fillId="2" borderId="15" xfId="0" applyFont="1" applyFill="1" applyBorder="1" applyAlignment="1">
      <alignment horizontal="center" vertical="center" shrinkToFit="1"/>
    </xf>
    <xf numFmtId="0" fontId="4" fillId="2" borderId="16" xfId="0" applyFont="1" applyFill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right" vertical="center" shrinkToFit="1"/>
    </xf>
    <xf numFmtId="0" fontId="0" fillId="0" borderId="2" xfId="0" applyBorder="1" applyAlignment="1">
      <alignment horizontal="right" vertical="center"/>
    </xf>
    <xf numFmtId="0" fontId="0" fillId="0" borderId="0" xfId="0" applyAlignment="1">
      <alignment horizontal="right" vertical="center" shrinkToFit="1"/>
    </xf>
    <xf numFmtId="0" fontId="3" fillId="0" borderId="0" xfId="0" applyFont="1" applyAlignment="1">
      <alignment horizontal="right" vertical="center" shrinkToFit="1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right" vertical="center" shrinkToFit="1"/>
    </xf>
    <xf numFmtId="0" fontId="4" fillId="0" borderId="0" xfId="0" applyFont="1" applyAlignment="1">
      <alignment horizontal="center" vertical="center"/>
    </xf>
    <xf numFmtId="180" fontId="0" fillId="0" borderId="0" xfId="0" applyNumberFormat="1">
      <alignment vertical="center"/>
    </xf>
    <xf numFmtId="49" fontId="2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176" fontId="0" fillId="0" borderId="0" xfId="0" applyNumberFormat="1" applyAlignment="1">
      <alignment horizontal="left" vertical="center"/>
    </xf>
    <xf numFmtId="0" fontId="5" fillId="0" borderId="1" xfId="0" applyFont="1" applyBorder="1" applyAlignment="1">
      <alignment horizontal="center" vertical="center" shrinkToFit="1"/>
    </xf>
    <xf numFmtId="0" fontId="5" fillId="0" borderId="0" xfId="0" applyFont="1" applyAlignment="1">
      <alignment horizontal="center" vertical="center"/>
    </xf>
  </cellXfs>
  <cellStyles count="1">
    <cellStyle name="標準" xfId="0" builtinId="0"/>
  </cellStyles>
  <dxfs count="21">
    <dxf>
      <numFmt numFmtId="180" formatCode="m/d/yyyy"/>
    </dxf>
    <dxf>
      <numFmt numFmtId="179" formatCode="000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游ゴシック"/>
        <family val="3"/>
        <charset val="128"/>
        <scheme val="minor"/>
      </font>
      <alignment horizontal="center" vertical="center" textRotation="0" wrapText="0" indent="0" justifyLastLine="0" shrinkToFit="0" readingOrder="0"/>
    </dxf>
    <dxf>
      <numFmt numFmtId="178" formatCode="0_ "/>
    </dxf>
    <dxf>
      <numFmt numFmtId="178" formatCode="0_ 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77" formatCode="0.0_ "/>
    </dxf>
    <dxf>
      <numFmt numFmtId="177" formatCode="0.0_ "/>
    </dxf>
    <dxf>
      <numFmt numFmtId="177" formatCode="0.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7" Type="http://schemas.openxmlformats.org/officeDocument/2006/relationships/image" Target="../media/image5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6" Type="http://schemas.openxmlformats.org/officeDocument/2006/relationships/image" Target="../media/image6.emf"/><Relationship Id="rId5" Type="http://schemas.openxmlformats.org/officeDocument/2006/relationships/image" Target="../media/image7.emf"/><Relationship Id="rId4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5" Type="http://schemas.openxmlformats.org/officeDocument/2006/relationships/image" Target="../media/image16.emf"/><Relationship Id="rId4" Type="http://schemas.openxmlformats.org/officeDocument/2006/relationships/image" Target="../media/image1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7.emf"/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</xdr:colOff>
          <xdr:row>1</xdr:row>
          <xdr:rowOff>82550</xdr:rowOff>
        </xdr:from>
        <xdr:to>
          <xdr:col>4</xdr:col>
          <xdr:colOff>355600</xdr:colOff>
          <xdr:row>2</xdr:row>
          <xdr:rowOff>177800</xdr:rowOff>
        </xdr:to>
        <xdr:sp macro="" textlink="">
          <xdr:nvSpPr>
            <xdr:cNvPr id="4099" name="RegistDataBtn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368300</xdr:colOff>
          <xdr:row>1</xdr:row>
          <xdr:rowOff>82550</xdr:rowOff>
        </xdr:from>
        <xdr:to>
          <xdr:col>4</xdr:col>
          <xdr:colOff>1358900</xdr:colOff>
          <xdr:row>2</xdr:row>
          <xdr:rowOff>177800</xdr:rowOff>
        </xdr:to>
        <xdr:sp macro="" textlink="">
          <xdr:nvSpPr>
            <xdr:cNvPr id="4103" name="ResetBtn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6350</xdr:colOff>
          <xdr:row>17</xdr:row>
          <xdr:rowOff>127000</xdr:rowOff>
        </xdr:from>
        <xdr:to>
          <xdr:col>4</xdr:col>
          <xdr:colOff>882650</xdr:colOff>
          <xdr:row>19</xdr:row>
          <xdr:rowOff>25400</xdr:rowOff>
        </xdr:to>
        <xdr:sp macro="" textlink="">
          <xdr:nvSpPr>
            <xdr:cNvPr id="4104" name="GoToDataBtn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1441450</xdr:colOff>
          <xdr:row>17</xdr:row>
          <xdr:rowOff>127000</xdr:rowOff>
        </xdr:from>
        <xdr:to>
          <xdr:col>2</xdr:col>
          <xdr:colOff>749300</xdr:colOff>
          <xdr:row>19</xdr:row>
          <xdr:rowOff>19050</xdr:rowOff>
        </xdr:to>
        <xdr:sp macro="" textlink="">
          <xdr:nvSpPr>
            <xdr:cNvPr id="4105" name="GoToGraphBtn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0</xdr:row>
          <xdr:rowOff>0</xdr:rowOff>
        </xdr:from>
        <xdr:to>
          <xdr:col>5</xdr:col>
          <xdr:colOff>63500</xdr:colOff>
          <xdr:row>1</xdr:row>
          <xdr:rowOff>127000</xdr:rowOff>
        </xdr:to>
        <xdr:sp macro="" textlink="">
          <xdr:nvSpPr>
            <xdr:cNvPr id="7170" name="GoToRegistDataBt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63500</xdr:colOff>
          <xdr:row>0</xdr:row>
          <xdr:rowOff>0</xdr:rowOff>
        </xdr:from>
        <xdr:to>
          <xdr:col>8</xdr:col>
          <xdr:colOff>228600</xdr:colOff>
          <xdr:row>1</xdr:row>
          <xdr:rowOff>127000</xdr:rowOff>
        </xdr:to>
        <xdr:sp macro="" textlink="">
          <xdr:nvSpPr>
            <xdr:cNvPr id="7172" name="GoToDataBtn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1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3</xdr:row>
          <xdr:rowOff>19050</xdr:rowOff>
        </xdr:from>
        <xdr:to>
          <xdr:col>4</xdr:col>
          <xdr:colOff>1308100</xdr:colOff>
          <xdr:row>4</xdr:row>
          <xdr:rowOff>146050</xdr:rowOff>
        </xdr:to>
        <xdr:sp macro="" textlink="">
          <xdr:nvSpPr>
            <xdr:cNvPr id="7174" name="SortByPointsBtn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1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1308100</xdr:colOff>
          <xdr:row>3</xdr:row>
          <xdr:rowOff>19050</xdr:rowOff>
        </xdr:from>
        <xdr:to>
          <xdr:col>7</xdr:col>
          <xdr:colOff>228600</xdr:colOff>
          <xdr:row>4</xdr:row>
          <xdr:rowOff>146050</xdr:rowOff>
        </xdr:to>
        <xdr:sp macro="" textlink="">
          <xdr:nvSpPr>
            <xdr:cNvPr id="7175" name="SortByRankBtn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1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3</xdr:row>
          <xdr:rowOff>19050</xdr:rowOff>
        </xdr:from>
        <xdr:to>
          <xdr:col>9</xdr:col>
          <xdr:colOff>482600</xdr:colOff>
          <xdr:row>4</xdr:row>
          <xdr:rowOff>146050</xdr:rowOff>
        </xdr:to>
        <xdr:sp macro="" textlink="">
          <xdr:nvSpPr>
            <xdr:cNvPr id="7176" name="SortByTimesBtn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1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488950</xdr:colOff>
          <xdr:row>3</xdr:row>
          <xdr:rowOff>19050</xdr:rowOff>
        </xdr:from>
        <xdr:to>
          <xdr:col>12</xdr:col>
          <xdr:colOff>412750</xdr:colOff>
          <xdr:row>4</xdr:row>
          <xdr:rowOff>146050</xdr:rowOff>
        </xdr:to>
        <xdr:sp macro="" textlink="">
          <xdr:nvSpPr>
            <xdr:cNvPr id="7177" name="ResetFilterBtn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1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0</xdr:row>
          <xdr:rowOff>0</xdr:rowOff>
        </xdr:from>
        <xdr:to>
          <xdr:col>11</xdr:col>
          <xdr:colOff>323850</xdr:colOff>
          <xdr:row>1</xdr:row>
          <xdr:rowOff>127000</xdr:rowOff>
        </xdr:to>
        <xdr:sp macro="" textlink="">
          <xdr:nvSpPr>
            <xdr:cNvPr id="7178" name="GoToSettingsBtn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1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82550</xdr:colOff>
          <xdr:row>0</xdr:row>
          <xdr:rowOff>69850</xdr:rowOff>
        </xdr:from>
        <xdr:to>
          <xdr:col>12</xdr:col>
          <xdr:colOff>781050</xdr:colOff>
          <xdr:row>1</xdr:row>
          <xdr:rowOff>12700</xdr:rowOff>
        </xdr:to>
        <xdr:sp macro="" textlink="">
          <xdr:nvSpPr>
            <xdr:cNvPr id="6145" name="GoToRegistDataBtn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82550</xdr:colOff>
          <xdr:row>2</xdr:row>
          <xdr:rowOff>0</xdr:rowOff>
        </xdr:from>
        <xdr:to>
          <xdr:col>13</xdr:col>
          <xdr:colOff>241300</xdr:colOff>
          <xdr:row>3</xdr:row>
          <xdr:rowOff>114300</xdr:rowOff>
        </xdr:to>
        <xdr:sp macro="" textlink="">
          <xdr:nvSpPr>
            <xdr:cNvPr id="6146" name="ImportDataBtn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82550</xdr:colOff>
          <xdr:row>4</xdr:row>
          <xdr:rowOff>0</xdr:rowOff>
        </xdr:from>
        <xdr:to>
          <xdr:col>13</xdr:col>
          <xdr:colOff>241300</xdr:colOff>
          <xdr:row>5</xdr:row>
          <xdr:rowOff>120650</xdr:rowOff>
        </xdr:to>
        <xdr:sp macro="" textlink="">
          <xdr:nvSpPr>
            <xdr:cNvPr id="6147" name="ExportDataBtn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82550</xdr:colOff>
          <xdr:row>6</xdr:row>
          <xdr:rowOff>38100</xdr:rowOff>
        </xdr:from>
        <xdr:to>
          <xdr:col>13</xdr:col>
          <xdr:colOff>241300</xdr:colOff>
          <xdr:row>7</xdr:row>
          <xdr:rowOff>165100</xdr:rowOff>
        </xdr:to>
        <xdr:sp macro="" textlink="">
          <xdr:nvSpPr>
            <xdr:cNvPr id="6148" name="DeleteDataBtn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781050</xdr:colOff>
          <xdr:row>0</xdr:row>
          <xdr:rowOff>69850</xdr:rowOff>
        </xdr:from>
        <xdr:to>
          <xdr:col>14</xdr:col>
          <xdr:colOff>654050</xdr:colOff>
          <xdr:row>1</xdr:row>
          <xdr:rowOff>12700</xdr:rowOff>
        </xdr:to>
        <xdr:sp macro="" textlink="">
          <xdr:nvSpPr>
            <xdr:cNvPr id="6149" name="GoToGraphBt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171450</xdr:colOff>
          <xdr:row>1</xdr:row>
          <xdr:rowOff>76200</xdr:rowOff>
        </xdr:from>
        <xdr:to>
          <xdr:col>3</xdr:col>
          <xdr:colOff>1441450</xdr:colOff>
          <xdr:row>3</xdr:row>
          <xdr:rowOff>31750</xdr:rowOff>
        </xdr:to>
        <xdr:sp macro="" textlink="">
          <xdr:nvSpPr>
            <xdr:cNvPr id="2049" name="RestartButt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171450</xdr:colOff>
          <xdr:row>0</xdr:row>
          <xdr:rowOff>31750</xdr:rowOff>
        </xdr:from>
        <xdr:to>
          <xdr:col>3</xdr:col>
          <xdr:colOff>1695450</xdr:colOff>
          <xdr:row>1</xdr:row>
          <xdr:rowOff>69850</xdr:rowOff>
        </xdr:to>
        <xdr:sp macro="" textlink="">
          <xdr:nvSpPr>
            <xdr:cNvPr id="2051" name="GoToGraphBtn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臼井佑太郎" refreshedDate="45319.906521527781" createdVersion="8" refreshedVersion="8" minRefreshableVersion="3" recordCount="1" xr:uid="{10C144C9-C795-4D9B-8476-D1A09F9CD6A7}">
  <cacheSource type="worksheet">
    <worksheetSource name="テーブル1"/>
  </cacheSource>
  <cacheFields count="11">
    <cacheField name="registKey" numFmtId="179">
      <sharedItems containsNonDate="0" containsString="0" containsBlank="1"/>
    </cacheField>
    <cacheField name="date" numFmtId="14">
      <sharedItems containsNonDate="0" containsString="0" containsBlank="1"/>
    </cacheField>
    <cacheField name="tier" numFmtId="0">
      <sharedItems containsNonDate="0" containsBlank="1" count="6">
        <m/>
        <s v="tier-S" u="1"/>
        <s v="未選択" u="1"/>
        <s v="tier-CD" u="1"/>
        <s v="others" u="1"/>
        <s v="tier-D" u="1"/>
      </sharedItems>
    </cacheField>
    <cacheField name="format" numFmtId="0">
      <sharedItems containsNonDate="0" containsBlank="1" count="4">
        <m/>
        <s v="2v2" u="1"/>
        <s v="未選択" u="1"/>
        <s v="FFA" u="1"/>
      </sharedItems>
    </cacheField>
    <cacheField name="trackKey" numFmtId="0">
      <sharedItems containsNonDate="0" containsString="0" containsBlank="1"/>
    </cacheField>
    <cacheField name="trackNameJp" numFmtId="0">
      <sharedItems containsNonDate="0" containsBlank="1" count="52">
        <m/>
        <s v="スイーツキャニオン" u="1"/>
        <s v="マリオサーキット" u="1"/>
        <s v="マリオカートスタジアム" u="1"/>
        <s v="ウォーターパーク" u="1"/>
        <s v="Tour パリプロムナード" u="1"/>
        <s v="Tour ニンニンドージョー" u="1"/>
        <s v="Tour アムステルダムブルーム" u="1"/>
        <s v="SFC マリオサーキット3" u="1"/>
        <s v="Wii キノコキャニオン" u="1"/>
        <s v="3DS ネオクッパシティ" u="1"/>
        <s v="Wii グラグラかざん" u="1"/>
        <s v="DS ワルイージピンボール" u="1"/>
        <s v="SFC ドーナツへいや3" u="1"/>
        <s v="Tour シドニーサンシャイン" u="1"/>
        <s v="ヘイホーこうざん" u="1"/>
        <s v="DS ピーチガーデン" u="1"/>
        <s v="DS キノコリッジウェイ" u="1"/>
        <s v="Wii モーモーカントリー" u="1"/>
        <s v="GC ワルイージスタジアム" u="1"/>
        <s v="Tour ロンドンアベニュー" u="1"/>
        <s v="3DS DKジャングル" u="1"/>
        <s v="ねじれマンション" u="1"/>
        <s v="GBA マリオサーキット" u="1"/>
        <s v="Tour トーキョースクランブル" u="1"/>
        <s v="キノピオハーバー" u="1"/>
        <s v="ワリオスノーマウンテン" u="1"/>
        <s v="ホネホネさばく" u="1"/>
        <s v="N64 レインボーロード" u="1"/>
        <s v="3DS ロックロックマウンテン" u="1"/>
        <s v="N64 ヨッシーバレー" u="1"/>
        <s v="Tour シンガポールスプラッシュ" u="1"/>
        <s v="ツルツルツイスター" u="1"/>
        <s v="3DS ミュージックパーク" u="1"/>
        <s v="Tour バンコクラッシュ" u="1"/>
        <s v="ドッスンいせき" u="1"/>
        <s v="3DS キノピオサーキット" u="1"/>
        <s v="Tour ベルリンシュトラーセ" u="1"/>
        <s v="サンシャインくうこう" u="1"/>
        <s v="エレクトロドリーム" u="1"/>
        <s v="GBA リボンロード" u="1"/>
        <s v="GBA テレサレイク" u="1"/>
        <s v="DS ワリオスタジアム" u="1"/>
        <s v="Wii メイプルツリーハウス" u="1"/>
        <s v="Wii DKスノーボードクロス" u="1"/>
        <s v="GBA スノーランド" u="1"/>
        <s v="エキサイトバイク" u="1"/>
        <s v="Tour アテネポリス" u="1"/>
        <s v="Hoge" u="1"/>
        <s v="ドルフィンみさき" u="1"/>
        <s v="Wii ココナッツモール" u="1"/>
        <s v="ハイラルサーキット" u="1"/>
      </sharedItems>
    </cacheField>
    <cacheField name="trackNameEn" numFmtId="0">
      <sharedItems containsNonDate="0" containsString="0" containsBlank="1"/>
    </cacheField>
    <cacheField name="startingRank" numFmtId="0">
      <sharedItems containsNonDate="0" containsString="0" containsBlank="1" containsNumber="1" containsInteger="1" minValue="0" maxValue="12" count="14">
        <m/>
        <n v="0" u="1"/>
        <n v="3" u="1"/>
        <n v="4" u="1"/>
        <n v="12" u="1"/>
        <n v="5" u="1"/>
        <n v="2" u="1"/>
        <n v="6" u="1"/>
        <n v="7" u="1"/>
        <n v="1" u="1"/>
        <n v="8" u="1"/>
        <n v="9" u="1"/>
        <n v="10" u="1"/>
        <n v="11" u="1"/>
      </sharedItems>
    </cacheField>
    <cacheField name="resultRank" numFmtId="0">
      <sharedItems containsNonDate="0" containsString="0" containsBlank="1"/>
    </cacheField>
    <cacheField name="resultPoint" numFmtId="0">
      <sharedItems containsNonDate="0" containsString="0" containsBlank="1"/>
    </cacheField>
    <cacheField name="detail" numFmtId="0">
      <sharedItems containsNonDate="0" containsBlank="1" count="6">
        <m/>
        <s v="てすと" u="1"/>
        <s v="前" u="1"/>
        <s v="テスト" u="1"/>
        <s v="早め戻り" u="1"/>
        <s v="打開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m/>
    <x v="0"/>
    <x v="0"/>
    <m/>
    <x v="0"/>
    <m/>
    <x v="0"/>
    <m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7476CC-EB26-42D5-A37F-DD87A00EAFB4}" name="ピボットテーブル1" cacheId="0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>
  <location ref="A6:D7" firstHeaderRow="0" firstDataRow="1" firstDataCol="1" rowPageCount="4" colPageCount="1"/>
  <pivotFields count="11">
    <pivotField showAll="0"/>
    <pivotField showAll="0"/>
    <pivotField name="模擬tier / Match tier" axis="axisPage" showAll="0">
      <items count="7">
        <item m="1" x="4"/>
        <item m="1" x="5"/>
        <item x="0"/>
        <item m="1" x="3"/>
        <item m="1" x="2"/>
        <item m="1" x="1"/>
        <item t="default"/>
      </items>
    </pivotField>
    <pivotField name="形式 / Format" axis="axisPage" showAll="0">
      <items count="5">
        <item m="1" x="1"/>
        <item x="0"/>
        <item m="1" x="3"/>
        <item m="1" x="2"/>
        <item t="default"/>
      </items>
    </pivotField>
    <pivotField name="trackKey" dataField="1" showAll="0" countASubtotal="1"/>
    <pivotField name="コース名 / Track name" axis="axisRow" showAll="0" measureFilter="1" sortType="ascending">
      <items count="53">
        <item m="1" x="3"/>
        <item m="1" x="4"/>
        <item m="1" x="37"/>
        <item m="1" x="18"/>
        <item m="1" x="24"/>
        <item m="1" x="14"/>
        <item m="1" x="46"/>
        <item m="1" x="38"/>
        <item m="1" x="9"/>
        <item m="1" x="45"/>
        <item m="1" x="23"/>
        <item m="1" x="42"/>
        <item m="1" x="40"/>
        <item m="1" x="39"/>
        <item m="1" x="13"/>
        <item m="1" x="5"/>
        <item m="1" x="33"/>
        <item m="1" x="11"/>
        <item m="1" x="32"/>
        <item m="1" x="6"/>
        <item m="1" x="36"/>
        <item m="1" x="41"/>
        <item m="1" x="50"/>
        <item m="1" x="21"/>
        <item m="1" x="51"/>
        <item m="1" x="44"/>
        <item m="1" x="28"/>
        <item m="1" x="48"/>
        <item m="1" x="31"/>
        <item m="1" x="19"/>
        <item x="0"/>
        <item m="1" x="8"/>
        <item m="1" x="22"/>
        <item m="1" x="34"/>
        <item m="1" x="27"/>
        <item m="1" x="20"/>
        <item m="1" x="43"/>
        <item m="1" x="7"/>
        <item m="1" x="26"/>
        <item m="1" x="16"/>
        <item m="1" x="29"/>
        <item m="1" x="10"/>
        <item m="1" x="17"/>
        <item m="1" x="49"/>
        <item m="1" x="35"/>
        <item m="1" x="15"/>
        <item m="1" x="25"/>
        <item m="1" x="12"/>
        <item m="1" x="30"/>
        <item m="1" x="47"/>
        <item m="1" x="1"/>
        <item m="1"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name="スタート順位 / Starting rank" axis="axisPage" showAll="0">
      <items count="15">
        <item m="1" x="9"/>
        <item m="1" x="6"/>
        <item m="1" x="3"/>
        <item m="1" x="5"/>
        <item m="1" x="7"/>
        <item m="1" x="10"/>
        <item m="1" x="12"/>
        <item m="1" x="13"/>
        <item m="1" x="4"/>
        <item m="1" x="2"/>
        <item m="1" x="8"/>
        <item m="1" x="11"/>
        <item m="1" x="1"/>
        <item x="0"/>
        <item t="default"/>
      </items>
    </pivotField>
    <pivotField dataField="1" showAll="0"/>
    <pivotField dataField="1" showAll="0"/>
    <pivotField name="備考 / Detail" axis="axisPage" showAll="0" defaultSubtotal="0">
      <items count="6">
        <item x="0"/>
        <item m="1" x="2"/>
        <item m="1" x="5"/>
        <item m="1" x="3"/>
        <item m="1" x="1"/>
        <item m="1" x="4"/>
      </items>
    </pivotField>
  </pivotFields>
  <rowFields count="1">
    <field x="5"/>
  </rowFields>
  <rowItems count="1">
    <i t="grand">
      <x/>
    </i>
  </rowItems>
  <colFields count="1">
    <field x="-2"/>
  </colFields>
  <colItems count="3">
    <i>
      <x/>
    </i>
    <i i="1">
      <x v="1"/>
    </i>
    <i i="2">
      <x v="2"/>
    </i>
  </colItems>
  <pageFields count="4">
    <pageField fld="2" hier="-1"/>
    <pageField fld="3" hier="-1"/>
    <pageField fld="7" hier="-1"/>
    <pageField fld="10" hier="-1"/>
  </pageFields>
  <dataFields count="3">
    <dataField name="Ave. points" fld="9" subtotal="average" baseField="5" baseItem="1" numFmtId="177"/>
    <dataField name="Ave. rank" fld="8" subtotal="average" baseField="5" baseItem="9" numFmtId="177"/>
    <dataField name="回数 / Times" fld="4" subtotal="count" baseField="5" baseItem="28" numFmtId="178"/>
  </dataFields>
  <formats count="18">
    <format dxfId="20">
      <pivotArea type="all" dataOnly="0" outline="0" fieldPosition="0"/>
    </format>
    <format dxfId="19">
      <pivotArea outline="0" collapsedLevelsAreSubtotals="1" fieldPosition="0"/>
    </format>
    <format dxfId="18">
      <pivotArea type="origin" dataOnly="0" labelOnly="1" outline="0" fieldPosition="0"/>
    </format>
    <format dxfId="17">
      <pivotArea field="7" type="button" dataOnly="0" labelOnly="1" outline="0" axis="axisPage" fieldPosition="2"/>
    </format>
    <format dxfId="16">
      <pivotArea type="topRight" dataOnly="0" labelOnly="1" outline="0" fieldPosition="0"/>
    </format>
    <format dxfId="15">
      <pivotArea field="5" type="button" dataOnly="0" labelOnly="1" outline="0" axis="axisRow" fieldPosition="0"/>
    </format>
    <format dxfId="14">
      <pivotArea dataOnly="0" labelOnly="1" grandRow="1" outline="0" fieldPosition="0"/>
    </format>
    <format dxfId="13">
      <pivotArea dataOnly="0" labelOnly="1" grandCol="1" outline="0" fieldPosition="0"/>
    </format>
    <format dxfId="12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1">
      <pivotArea dataOnly="0" labelOnly="1" outline="0" fieldPosition="0">
        <references count="1">
          <reference field="7" count="0"/>
        </references>
      </pivotArea>
    </format>
    <format dxfId="1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9">
      <pivotArea type="all" dataOnly="0" outline="0" fieldPosition="0"/>
    </format>
    <format dxfId="8">
      <pivotArea outline="0" collapsedLevelsAreSubtotals="1" fieldPosition="0"/>
    </format>
    <format dxfId="7">
      <pivotArea field="5" type="button" dataOnly="0" labelOnly="1" outline="0" axis="axisRow" fieldPosition="0"/>
    </format>
    <format dxfId="6">
      <pivotArea dataOnly="0" labelOnly="1" grandRow="1" outline="0" fieldPosition="0"/>
    </format>
    <format dxfId="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">
      <pivotArea dataOnly="0" labelOnly="1" outline="0" fieldPosition="0">
        <references count="1">
          <reference field="4294967294" count="1">
            <x v="2"/>
          </reference>
        </references>
      </pivotArea>
    </format>
  </formats>
  <pivotTableStyleInfo name="PivotStyleLight16" showRowHeaders="1" showColHeaders="1" showRowStripes="0" showColStripes="0" showLastColumn="1"/>
  <filters count="1">
    <filter fld="5" type="valueGreaterThanOrEqual" evalOrder="-1" id="26" iMeasureFld="2">
      <autoFilter ref="A1">
        <filterColumn colId="0">
          <customFilters>
            <customFilter operator="greaterThanOrEqual" val="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45AFA44-543A-4814-B27E-EDB62A582CCD}" name="テーブル1" displayName="テーブル1" ref="A1:K2" insertRow="1" totalsRowShown="0" headerRowDxfId="2">
  <autoFilter ref="A1:K2" xr:uid="{345AFA44-543A-4814-B27E-EDB62A582CCD}"/>
  <tableColumns count="11">
    <tableColumn id="1" xr3:uid="{F751EC9B-401A-410E-A20D-A6E465EC5469}" name="registKey" dataDxfId="1"/>
    <tableColumn id="2" xr3:uid="{074A40CA-00D3-455C-B2E2-DC85C6B33144}" name="date" dataDxfId="0"/>
    <tableColumn id="3" xr3:uid="{DC0CB8AE-592B-4758-91AE-2430DAAA30DB}" name="tier"/>
    <tableColumn id="4" xr3:uid="{BD7D6C7E-0F1C-4BD9-8177-64C2AEA91027}" name="format"/>
    <tableColumn id="5" xr3:uid="{ECA0A9FE-9A3E-4120-8D77-F5C23B85EBF6}" name="trackKey"/>
    <tableColumn id="6" xr3:uid="{1EA31009-DCAB-4785-AB89-B193586FC7F3}" name="trackNameJp"/>
    <tableColumn id="7" xr3:uid="{67697A7B-717D-414A-AAD2-D151E124A800}" name="trackNameEn"/>
    <tableColumn id="8" xr3:uid="{0994655A-7136-4F18-BA2C-56CD3508238A}" name="startingRank"/>
    <tableColumn id="9" xr3:uid="{42C4AAD0-2631-4A9B-BCDA-0013C70E88D0}" name="resultRank"/>
    <tableColumn id="10" xr3:uid="{3BDF7A06-A036-4E3F-A04B-CB1E010779FD}" name="resultPoint"/>
    <tableColumn id="11" xr3:uid="{177EA8EE-404D-4959-B7D7-D98D77322B52}" name="detai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13" Type="http://schemas.openxmlformats.org/officeDocument/2006/relationships/control" Target="../activeX/activeX9.xml"/><Relationship Id="rId18" Type="http://schemas.openxmlformats.org/officeDocument/2006/relationships/image" Target="../media/image11.emf"/><Relationship Id="rId3" Type="http://schemas.openxmlformats.org/officeDocument/2006/relationships/drawing" Target="../drawings/drawing2.xml"/><Relationship Id="rId7" Type="http://schemas.openxmlformats.org/officeDocument/2006/relationships/control" Target="../activeX/activeX6.xml"/><Relationship Id="rId12" Type="http://schemas.openxmlformats.org/officeDocument/2006/relationships/image" Target="../media/image8.emf"/><Relationship Id="rId17" Type="http://schemas.openxmlformats.org/officeDocument/2006/relationships/control" Target="../activeX/activeX11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10.emf"/><Relationship Id="rId1" Type="http://schemas.openxmlformats.org/officeDocument/2006/relationships/pivotTable" Target="../pivotTables/pivotTable1.xml"/><Relationship Id="rId6" Type="http://schemas.openxmlformats.org/officeDocument/2006/relationships/image" Target="../media/image5.emf"/><Relationship Id="rId11" Type="http://schemas.openxmlformats.org/officeDocument/2006/relationships/control" Target="../activeX/activeX8.xml"/><Relationship Id="rId5" Type="http://schemas.openxmlformats.org/officeDocument/2006/relationships/control" Target="../activeX/activeX5.xml"/><Relationship Id="rId15" Type="http://schemas.openxmlformats.org/officeDocument/2006/relationships/control" Target="../activeX/activeX10.xml"/><Relationship Id="rId10" Type="http://schemas.openxmlformats.org/officeDocument/2006/relationships/image" Target="../media/image7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7.xml"/><Relationship Id="rId14" Type="http://schemas.openxmlformats.org/officeDocument/2006/relationships/image" Target="../media/image9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18.emf"/><Relationship Id="rId5" Type="http://schemas.openxmlformats.org/officeDocument/2006/relationships/control" Target="../activeX/activeX18.xml"/><Relationship Id="rId4" Type="http://schemas.openxmlformats.org/officeDocument/2006/relationships/image" Target="../media/image17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B2090A-399B-4B93-9725-DB1D3463B6D8}">
  <sheetPr codeName="Sheet1"/>
  <dimension ref="A1:F17"/>
  <sheetViews>
    <sheetView tabSelected="1" workbookViewId="0">
      <selection activeCell="C2" sqref="C2"/>
    </sheetView>
  </sheetViews>
  <sheetFormatPr defaultColWidth="8.6640625" defaultRowHeight="18" x14ac:dyDescent="0.55000000000000004"/>
  <cols>
    <col min="1" max="1" width="5.08203125" style="7" customWidth="1"/>
    <col min="2" max="2" width="29.08203125" style="11" customWidth="1"/>
    <col min="3" max="3" width="10.08203125" style="7" customWidth="1"/>
    <col min="4" max="4" width="8.5" style="7" customWidth="1"/>
    <col min="5" max="5" width="18.5" style="7" customWidth="1"/>
    <col min="6" max="6" width="8.6640625" style="6" hidden="1" customWidth="1"/>
    <col min="7" max="16384" width="8.6640625" style="7"/>
  </cols>
  <sheetData>
    <row r="1" spans="1:6" ht="22.5" x14ac:dyDescent="0.55000000000000004">
      <c r="A1" s="62" t="s">
        <v>416</v>
      </c>
      <c r="B1" s="62"/>
      <c r="C1" s="62"/>
      <c r="D1" s="62"/>
      <c r="E1" s="62"/>
    </row>
    <row r="2" spans="1:6" ht="22.5" x14ac:dyDescent="0.55000000000000004">
      <c r="A2" s="19" t="s">
        <v>395</v>
      </c>
      <c r="B2" s="20" t="s">
        <v>405</v>
      </c>
      <c r="C2" s="26" t="s">
        <v>414</v>
      </c>
      <c r="D2" s="46"/>
      <c r="E2" s="44"/>
    </row>
    <row r="3" spans="1:6" ht="22.5" x14ac:dyDescent="0.55000000000000004">
      <c r="A3" s="21"/>
      <c r="B3" s="22" t="s">
        <v>406</v>
      </c>
      <c r="C3" s="27" t="s">
        <v>414</v>
      </c>
      <c r="D3" s="47"/>
      <c r="E3" s="45"/>
    </row>
    <row r="4" spans="1:6" s="9" customFormat="1" ht="27.5" customHeight="1" x14ac:dyDescent="0.55000000000000004">
      <c r="A4" s="23"/>
      <c r="B4" s="24" t="s">
        <v>407</v>
      </c>
      <c r="C4" s="43" t="s">
        <v>468</v>
      </c>
      <c r="D4" s="43" t="s">
        <v>467</v>
      </c>
      <c r="E4" s="25" t="s">
        <v>427</v>
      </c>
      <c r="F4" s="8"/>
    </row>
    <row r="5" spans="1:6" ht="20" customHeight="1" x14ac:dyDescent="0.55000000000000004">
      <c r="A5" s="10">
        <v>1</v>
      </c>
      <c r="B5" s="28" t="s">
        <v>606</v>
      </c>
      <c r="C5" s="29"/>
      <c r="D5" s="30"/>
      <c r="E5" s="30"/>
      <c r="F5" s="6">
        <f>IF(D5="",0,IF(D5=1,15,IF(D5=2,12,13-D5)))</f>
        <v>0</v>
      </c>
    </row>
    <row r="6" spans="1:6" ht="20" customHeight="1" x14ac:dyDescent="0.55000000000000004">
      <c r="A6" s="12">
        <v>2</v>
      </c>
      <c r="B6" s="31" t="s">
        <v>605</v>
      </c>
      <c r="C6" s="32"/>
      <c r="D6" s="32"/>
      <c r="E6" s="32"/>
      <c r="F6" s="6">
        <f t="shared" ref="F6:F16" si="0">IF(D6="",0,IF(D6=1,15,IF(D6=2,12,13-D6)))</f>
        <v>0</v>
      </c>
    </row>
    <row r="7" spans="1:6" ht="20" customHeight="1" x14ac:dyDescent="0.55000000000000004">
      <c r="A7" s="13">
        <v>3</v>
      </c>
      <c r="B7" s="28" t="s">
        <v>605</v>
      </c>
      <c r="C7" s="30"/>
      <c r="D7" s="30"/>
      <c r="E7" s="30"/>
      <c r="F7" s="6">
        <f t="shared" si="0"/>
        <v>0</v>
      </c>
    </row>
    <row r="8" spans="1:6" ht="20" customHeight="1" x14ac:dyDescent="0.55000000000000004">
      <c r="A8" s="12">
        <v>4</v>
      </c>
      <c r="B8" s="31" t="s">
        <v>605</v>
      </c>
      <c r="C8" s="32"/>
      <c r="D8" s="32"/>
      <c r="E8" s="32"/>
      <c r="F8" s="6">
        <f t="shared" si="0"/>
        <v>0</v>
      </c>
    </row>
    <row r="9" spans="1:6" ht="20" customHeight="1" x14ac:dyDescent="0.55000000000000004">
      <c r="A9" s="13">
        <v>5</v>
      </c>
      <c r="B9" s="28" t="s">
        <v>605</v>
      </c>
      <c r="C9" s="30"/>
      <c r="D9" s="30"/>
      <c r="E9" s="30"/>
      <c r="F9" s="6">
        <f t="shared" si="0"/>
        <v>0</v>
      </c>
    </row>
    <row r="10" spans="1:6" ht="20" customHeight="1" x14ac:dyDescent="0.55000000000000004">
      <c r="A10" s="12">
        <v>6</v>
      </c>
      <c r="B10" s="31" t="s">
        <v>415</v>
      </c>
      <c r="C10" s="32"/>
      <c r="D10" s="32"/>
      <c r="E10" s="32"/>
      <c r="F10" s="6">
        <f t="shared" si="0"/>
        <v>0</v>
      </c>
    </row>
    <row r="11" spans="1:6" ht="20" customHeight="1" x14ac:dyDescent="0.55000000000000004">
      <c r="A11" s="13">
        <v>7</v>
      </c>
      <c r="B11" s="28" t="s">
        <v>415</v>
      </c>
      <c r="C11" s="30"/>
      <c r="D11" s="30"/>
      <c r="E11" s="30"/>
      <c r="F11" s="6">
        <f t="shared" si="0"/>
        <v>0</v>
      </c>
    </row>
    <row r="12" spans="1:6" ht="20" customHeight="1" x14ac:dyDescent="0.55000000000000004">
      <c r="A12" s="12">
        <v>8</v>
      </c>
      <c r="B12" s="31" t="s">
        <v>415</v>
      </c>
      <c r="C12" s="32"/>
      <c r="D12" s="32"/>
      <c r="E12" s="32"/>
      <c r="F12" s="6">
        <f t="shared" si="0"/>
        <v>0</v>
      </c>
    </row>
    <row r="13" spans="1:6" ht="20" customHeight="1" x14ac:dyDescent="0.55000000000000004">
      <c r="A13" s="13">
        <v>9</v>
      </c>
      <c r="B13" s="28" t="s">
        <v>415</v>
      </c>
      <c r="C13" s="30"/>
      <c r="D13" s="30"/>
      <c r="E13" s="30"/>
      <c r="F13" s="6">
        <f t="shared" si="0"/>
        <v>0</v>
      </c>
    </row>
    <row r="14" spans="1:6" ht="20" customHeight="1" x14ac:dyDescent="0.55000000000000004">
      <c r="A14" s="12">
        <v>10</v>
      </c>
      <c r="B14" s="31" t="s">
        <v>415</v>
      </c>
      <c r="C14" s="32"/>
      <c r="D14" s="32"/>
      <c r="E14" s="32"/>
      <c r="F14" s="6">
        <f t="shared" si="0"/>
        <v>0</v>
      </c>
    </row>
    <row r="15" spans="1:6" ht="20" customHeight="1" x14ac:dyDescent="0.55000000000000004">
      <c r="A15" s="13">
        <v>11</v>
      </c>
      <c r="B15" s="28" t="s">
        <v>415</v>
      </c>
      <c r="C15" s="30"/>
      <c r="D15" s="30"/>
      <c r="E15" s="30"/>
      <c r="F15" s="6">
        <f t="shared" si="0"/>
        <v>0</v>
      </c>
    </row>
    <row r="16" spans="1:6" ht="20" customHeight="1" x14ac:dyDescent="0.55000000000000004">
      <c r="A16" s="14">
        <v>12</v>
      </c>
      <c r="B16" s="33" t="s">
        <v>415</v>
      </c>
      <c r="C16" s="34"/>
      <c r="D16" s="34"/>
      <c r="E16" s="34"/>
      <c r="F16" s="6">
        <f t="shared" si="0"/>
        <v>0</v>
      </c>
    </row>
    <row r="17" spans="1:5" ht="20" customHeight="1" x14ac:dyDescent="0.55000000000000004">
      <c r="A17" s="15"/>
      <c r="B17" s="16" t="s">
        <v>394</v>
      </c>
      <c r="C17" s="17">
        <f>SUM(F5:F16)</f>
        <v>0</v>
      </c>
      <c r="D17" s="17" t="s">
        <v>469</v>
      </c>
      <c r="E17" s="18"/>
    </row>
  </sheetData>
  <sheetProtection algorithmName="SHA-512" hashValue="i/xXwu65yAAdlT9rd/sw3pHKKtzthXsVsjK9GiDsp81JW3nS9mnlug2+GeAoI5jeeW72Zl9SRQ8DCK1GQfly5Q==" saltValue="Nz1kbPtLnsh4OgkOKCE/kw==" spinCount="100000" sheet="1" selectLockedCells="1"/>
  <mergeCells count="1">
    <mergeCell ref="A1:E1"/>
  </mergeCells>
  <phoneticPr fontId="1"/>
  <dataValidations count="1">
    <dataValidation type="whole" allowBlank="1" showInputMessage="1" showErrorMessage="1" sqref="C5:D16" xr:uid="{56D5B942-32D9-4EF1-9E55-7B833B87BDF8}">
      <formula1>1</formula1>
      <formula2>12</formula2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4105" r:id="rId4" name="GoToGraphBtn">
          <controlPr defaultSize="0" autoLine="0" r:id="rId5">
            <anchor moveWithCells="1">
              <from>
                <xdr:col>1</xdr:col>
                <xdr:colOff>1441450</xdr:colOff>
                <xdr:row>17</xdr:row>
                <xdr:rowOff>127000</xdr:rowOff>
              </from>
              <to>
                <xdr:col>2</xdr:col>
                <xdr:colOff>749300</xdr:colOff>
                <xdr:row>19</xdr:row>
                <xdr:rowOff>19050</xdr:rowOff>
              </to>
            </anchor>
          </controlPr>
        </control>
      </mc:Choice>
      <mc:Fallback>
        <control shapeId="4105" r:id="rId4" name="GoToGraphBtn"/>
      </mc:Fallback>
    </mc:AlternateContent>
    <mc:AlternateContent xmlns:mc="http://schemas.openxmlformats.org/markup-compatibility/2006">
      <mc:Choice Requires="x14">
        <control shapeId="4104" r:id="rId6" name="GoToDataBtn">
          <controlPr defaultSize="0" autoLine="0" r:id="rId7">
            <anchor moveWithCells="1">
              <from>
                <xdr:col>3</xdr:col>
                <xdr:colOff>6350</xdr:colOff>
                <xdr:row>17</xdr:row>
                <xdr:rowOff>127000</xdr:rowOff>
              </from>
              <to>
                <xdr:col>4</xdr:col>
                <xdr:colOff>882650</xdr:colOff>
                <xdr:row>19</xdr:row>
                <xdr:rowOff>25400</xdr:rowOff>
              </to>
            </anchor>
          </controlPr>
        </control>
      </mc:Choice>
      <mc:Fallback>
        <control shapeId="4104" r:id="rId6" name="GoToDataBtn"/>
      </mc:Fallback>
    </mc:AlternateContent>
    <mc:AlternateContent xmlns:mc="http://schemas.openxmlformats.org/markup-compatibility/2006">
      <mc:Choice Requires="x14">
        <control shapeId="4103" r:id="rId8" name="ResetBtn">
          <controlPr defaultSize="0" autoLine="0" r:id="rId9">
            <anchor moveWithCells="1">
              <from>
                <xdr:col>4</xdr:col>
                <xdr:colOff>368300</xdr:colOff>
                <xdr:row>1</xdr:row>
                <xdr:rowOff>82550</xdr:rowOff>
              </from>
              <to>
                <xdr:col>4</xdr:col>
                <xdr:colOff>1358900</xdr:colOff>
                <xdr:row>2</xdr:row>
                <xdr:rowOff>177800</xdr:rowOff>
              </to>
            </anchor>
          </controlPr>
        </control>
      </mc:Choice>
      <mc:Fallback>
        <control shapeId="4103" r:id="rId8" name="ResetBtn"/>
      </mc:Fallback>
    </mc:AlternateContent>
    <mc:AlternateContent xmlns:mc="http://schemas.openxmlformats.org/markup-compatibility/2006">
      <mc:Choice Requires="x14">
        <control shapeId="4099" r:id="rId10" name="RegistDataBtn">
          <controlPr defaultSize="0" autoLine="0" r:id="rId11">
            <anchor moveWithCells="1">
              <from>
                <xdr:col>3</xdr:col>
                <xdr:colOff>12700</xdr:colOff>
                <xdr:row>1</xdr:row>
                <xdr:rowOff>82550</xdr:rowOff>
              </from>
              <to>
                <xdr:col>4</xdr:col>
                <xdr:colOff>355600</xdr:colOff>
                <xdr:row>2</xdr:row>
                <xdr:rowOff>177800</xdr:rowOff>
              </to>
            </anchor>
          </controlPr>
        </control>
      </mc:Choice>
      <mc:Fallback>
        <control shapeId="4099" r:id="rId10" name="RegistData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167CE07-B858-46F9-A0A2-84AF3DE44DAA}">
          <x14:formula1>
            <xm:f>Storage!$E:$E</xm:f>
          </x14:formula1>
          <xm:sqref>C2</xm:sqref>
        </x14:dataValidation>
        <x14:dataValidation type="list" allowBlank="1" showInputMessage="1" showErrorMessage="1" xr:uid="{65617441-8713-4E2B-A290-CDBD3EDB5686}">
          <x14:formula1>
            <xm:f>Storage!$A:$A</xm:f>
          </x14:formula1>
          <xm:sqref>B5:B16</xm:sqref>
        </x14:dataValidation>
        <x14:dataValidation type="list" allowBlank="1" showInputMessage="1" showErrorMessage="1" xr:uid="{76D49F27-2989-4170-8ABF-0F4937ACF0B0}">
          <x14:formula1>
            <xm:f>Storage!$F:$F</xm:f>
          </x14:formula1>
          <xm:sqref>C3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77A31-A31B-4D55-AFCB-6680ACBFAF02}">
  <sheetPr codeName="Sheet12"/>
  <dimension ref="A1:N130"/>
  <sheetViews>
    <sheetView workbookViewId="0"/>
  </sheetViews>
  <sheetFormatPr defaultRowHeight="18" x14ac:dyDescent="0.55000000000000004"/>
  <cols>
    <col min="1" max="1" width="26.1640625" style="39" bestFit="1" customWidth="1"/>
    <col min="2" max="2" width="11.25" style="40" bestFit="1" customWidth="1"/>
    <col min="3" max="3" width="9.75" style="40" bestFit="1" customWidth="1"/>
    <col min="4" max="4" width="12.5" style="41" bestFit="1" customWidth="1"/>
    <col min="5" max="5" width="19.6640625" style="39" bestFit="1" customWidth="1"/>
    <col min="6" max="7" width="5.58203125" style="39" bestFit="1" customWidth="1"/>
    <col min="8" max="9" width="6.6640625" style="39" bestFit="1" customWidth="1"/>
    <col min="10" max="10" width="6.5" style="39" bestFit="1" customWidth="1"/>
    <col min="11" max="13" width="5.58203125" style="39" bestFit="1" customWidth="1"/>
    <col min="14" max="14" width="6.1640625" style="39" bestFit="1" customWidth="1"/>
    <col min="15" max="15" width="17.1640625" style="39" bestFit="1" customWidth="1"/>
    <col min="16" max="16" width="17.25" style="39" bestFit="1" customWidth="1"/>
    <col min="17" max="17" width="17.1640625" style="39" bestFit="1" customWidth="1"/>
    <col min="18" max="18" width="17.25" style="39" bestFit="1" customWidth="1"/>
    <col min="19" max="19" width="17.1640625" style="39" bestFit="1" customWidth="1"/>
    <col min="20" max="20" width="17.25" style="39" bestFit="1" customWidth="1"/>
    <col min="21" max="21" width="17.1640625" style="39" bestFit="1" customWidth="1"/>
    <col min="22" max="22" width="17.25" style="39" bestFit="1" customWidth="1"/>
    <col min="23" max="23" width="17.1640625" style="39" bestFit="1" customWidth="1"/>
    <col min="24" max="24" width="17.25" style="39" bestFit="1" customWidth="1"/>
    <col min="25" max="25" width="17.1640625" style="39" bestFit="1" customWidth="1"/>
    <col min="26" max="26" width="23.6640625" style="39" bestFit="1" customWidth="1"/>
    <col min="27" max="27" width="23.58203125" style="39" bestFit="1" customWidth="1"/>
    <col min="28" max="16384" width="8.6640625" style="39"/>
  </cols>
  <sheetData>
    <row r="1" spans="1:14" x14ac:dyDescent="0.55000000000000004">
      <c r="A1" s="39" t="s">
        <v>429</v>
      </c>
      <c r="B1" s="39" t="s">
        <v>423</v>
      </c>
    </row>
    <row r="2" spans="1:14" x14ac:dyDescent="0.55000000000000004">
      <c r="A2" s="39" t="s">
        <v>430</v>
      </c>
      <c r="B2" s="39" t="s">
        <v>423</v>
      </c>
    </row>
    <row r="3" spans="1:14" x14ac:dyDescent="0.55000000000000004">
      <c r="A3" s="39" t="s">
        <v>424</v>
      </c>
      <c r="B3" s="40" t="s">
        <v>423</v>
      </c>
      <c r="C3"/>
      <c r="E3"/>
      <c r="F3"/>
      <c r="G3"/>
      <c r="H3"/>
      <c r="I3"/>
      <c r="J3"/>
      <c r="K3"/>
      <c r="L3"/>
      <c r="M3"/>
      <c r="N3"/>
    </row>
    <row r="4" spans="1:14" x14ac:dyDescent="0.55000000000000004">
      <c r="A4" s="39" t="s">
        <v>426</v>
      </c>
      <c r="B4" s="39" t="s">
        <v>423</v>
      </c>
      <c r="C4"/>
      <c r="E4"/>
      <c r="F4"/>
      <c r="G4"/>
      <c r="H4"/>
      <c r="I4"/>
      <c r="J4"/>
      <c r="K4"/>
      <c r="L4"/>
      <c r="M4"/>
      <c r="N4"/>
    </row>
    <row r="5" spans="1:14" x14ac:dyDescent="0.55000000000000004">
      <c r="A5"/>
      <c r="B5"/>
      <c r="C5"/>
      <c r="E5"/>
      <c r="F5"/>
      <c r="G5"/>
      <c r="H5"/>
      <c r="I5"/>
      <c r="J5"/>
      <c r="K5"/>
      <c r="L5"/>
      <c r="M5"/>
      <c r="N5"/>
    </row>
    <row r="6" spans="1:14" x14ac:dyDescent="0.55000000000000004">
      <c r="A6" s="39" t="s">
        <v>419</v>
      </c>
      <c r="B6" s="40" t="s">
        <v>422</v>
      </c>
      <c r="C6" s="40" t="s">
        <v>421</v>
      </c>
      <c r="D6" s="41" t="s">
        <v>425</v>
      </c>
      <c r="E6"/>
      <c r="F6"/>
      <c r="G6"/>
      <c r="H6"/>
      <c r="I6"/>
      <c r="J6"/>
      <c r="K6"/>
      <c r="L6"/>
      <c r="M6"/>
      <c r="N6"/>
    </row>
    <row r="7" spans="1:14" x14ac:dyDescent="0.55000000000000004">
      <c r="A7" s="61" t="s">
        <v>420</v>
      </c>
      <c r="E7"/>
      <c r="F7"/>
      <c r="G7"/>
      <c r="H7"/>
      <c r="I7"/>
      <c r="J7"/>
      <c r="K7"/>
      <c r="L7"/>
      <c r="M7"/>
      <c r="N7"/>
    </row>
    <row r="8" spans="1:14" x14ac:dyDescent="0.55000000000000004">
      <c r="A8"/>
      <c r="B8"/>
      <c r="C8"/>
      <c r="D8"/>
      <c r="E8"/>
      <c r="F8"/>
      <c r="G8"/>
      <c r="H8"/>
      <c r="I8"/>
      <c r="J8"/>
      <c r="K8"/>
      <c r="L8"/>
      <c r="M8"/>
      <c r="N8"/>
    </row>
    <row r="9" spans="1:14" x14ac:dyDescent="0.55000000000000004">
      <c r="A9"/>
      <c r="B9"/>
      <c r="C9"/>
      <c r="D9"/>
      <c r="E9"/>
      <c r="F9"/>
      <c r="G9"/>
      <c r="H9"/>
      <c r="I9"/>
      <c r="J9"/>
      <c r="K9"/>
      <c r="L9"/>
      <c r="M9"/>
      <c r="N9"/>
    </row>
    <row r="10" spans="1:14" x14ac:dyDescent="0.55000000000000004">
      <c r="A10"/>
      <c r="B10"/>
      <c r="C10"/>
      <c r="D10"/>
      <c r="E10"/>
      <c r="F10"/>
      <c r="G10"/>
      <c r="H10"/>
      <c r="I10"/>
      <c r="J10"/>
      <c r="K10"/>
      <c r="L10"/>
      <c r="M10"/>
      <c r="N10"/>
    </row>
    <row r="11" spans="1:14" x14ac:dyDescent="0.55000000000000004">
      <c r="A11"/>
      <c r="B11"/>
      <c r="C11"/>
      <c r="D11"/>
      <c r="E11"/>
      <c r="F11"/>
      <c r="G11"/>
      <c r="H11"/>
      <c r="I11"/>
      <c r="J11"/>
      <c r="K11"/>
      <c r="L11"/>
      <c r="M11"/>
      <c r="N11"/>
    </row>
    <row r="12" spans="1:14" x14ac:dyDescent="0.55000000000000004">
      <c r="A12"/>
      <c r="B12"/>
      <c r="C12"/>
      <c r="D12"/>
      <c r="E12"/>
      <c r="F12"/>
      <c r="G12"/>
      <c r="H12"/>
      <c r="I12"/>
      <c r="J12"/>
      <c r="K12"/>
      <c r="L12"/>
      <c r="M12"/>
      <c r="N12"/>
    </row>
    <row r="13" spans="1:14" x14ac:dyDescent="0.55000000000000004">
      <c r="A13"/>
      <c r="B13"/>
      <c r="C13"/>
      <c r="D13"/>
      <c r="E13"/>
      <c r="F13"/>
      <c r="G13"/>
      <c r="H13"/>
      <c r="I13"/>
      <c r="J13"/>
      <c r="K13"/>
      <c r="L13"/>
      <c r="M13"/>
      <c r="N13"/>
    </row>
    <row r="14" spans="1:14" x14ac:dyDescent="0.55000000000000004">
      <c r="A14"/>
      <c r="B14"/>
      <c r="C14"/>
      <c r="D14"/>
      <c r="E14"/>
      <c r="F14"/>
      <c r="G14"/>
      <c r="H14"/>
      <c r="I14"/>
      <c r="J14"/>
      <c r="K14"/>
      <c r="L14"/>
      <c r="M14"/>
      <c r="N14"/>
    </row>
    <row r="15" spans="1:14" x14ac:dyDescent="0.55000000000000004">
      <c r="A15"/>
      <c r="B15"/>
      <c r="C15"/>
      <c r="D15"/>
      <c r="E15"/>
      <c r="F15"/>
      <c r="G15"/>
      <c r="H15"/>
      <c r="I15"/>
      <c r="J15"/>
      <c r="K15"/>
      <c r="L15"/>
      <c r="M15"/>
      <c r="N15"/>
    </row>
    <row r="16" spans="1:14" x14ac:dyDescent="0.55000000000000004">
      <c r="A16"/>
      <c r="B16"/>
      <c r="C16"/>
      <c r="D16"/>
      <c r="E16"/>
      <c r="F16"/>
      <c r="G16"/>
      <c r="H16"/>
      <c r="I16"/>
      <c r="J16"/>
      <c r="K16"/>
      <c r="L16"/>
      <c r="M16"/>
      <c r="N16"/>
    </row>
    <row r="17" spans="1:13" x14ac:dyDescent="0.55000000000000004">
      <c r="A17"/>
      <c r="B17"/>
      <c r="C17"/>
      <c r="D17"/>
      <c r="E17"/>
      <c r="F17"/>
      <c r="G17"/>
      <c r="H17"/>
      <c r="I17"/>
      <c r="J17"/>
      <c r="K17"/>
      <c r="L17"/>
      <c r="M17"/>
    </row>
    <row r="18" spans="1:13" x14ac:dyDescent="0.55000000000000004">
      <c r="A18"/>
      <c r="B18"/>
      <c r="C18"/>
      <c r="D18"/>
      <c r="E18"/>
      <c r="F18"/>
      <c r="G18"/>
      <c r="H18"/>
      <c r="I18"/>
      <c r="J18"/>
      <c r="K18"/>
      <c r="L18"/>
      <c r="M18"/>
    </row>
    <row r="19" spans="1:13" x14ac:dyDescent="0.55000000000000004">
      <c r="A19"/>
      <c r="B19"/>
      <c r="C19"/>
      <c r="D19"/>
      <c r="E19"/>
      <c r="F19"/>
      <c r="G19"/>
      <c r="H19"/>
      <c r="I19"/>
      <c r="J19"/>
      <c r="K19"/>
      <c r="L19"/>
      <c r="M19"/>
    </row>
    <row r="20" spans="1:13" x14ac:dyDescent="0.55000000000000004">
      <c r="A20"/>
      <c r="B20"/>
      <c r="C20"/>
      <c r="D20"/>
      <c r="E20"/>
    </row>
    <row r="21" spans="1:13" x14ac:dyDescent="0.55000000000000004">
      <c r="A21"/>
      <c r="B21"/>
      <c r="C21"/>
      <c r="D21"/>
      <c r="E21"/>
    </row>
    <row r="22" spans="1:13" x14ac:dyDescent="0.55000000000000004">
      <c r="A22"/>
      <c r="B22"/>
      <c r="C22"/>
      <c r="D22"/>
      <c r="E22"/>
    </row>
    <row r="23" spans="1:13" x14ac:dyDescent="0.55000000000000004">
      <c r="A23"/>
      <c r="B23"/>
      <c r="C23"/>
      <c r="D23"/>
      <c r="E23"/>
    </row>
    <row r="24" spans="1:13" x14ac:dyDescent="0.55000000000000004">
      <c r="A24"/>
      <c r="B24"/>
      <c r="C24"/>
      <c r="D24"/>
      <c r="E24"/>
    </row>
    <row r="25" spans="1:13" x14ac:dyDescent="0.55000000000000004">
      <c r="A25"/>
      <c r="B25"/>
      <c r="C25"/>
      <c r="D25"/>
      <c r="E25"/>
    </row>
    <row r="26" spans="1:13" x14ac:dyDescent="0.55000000000000004">
      <c r="A26"/>
      <c r="B26"/>
      <c r="C26"/>
      <c r="D26"/>
      <c r="E26"/>
    </row>
    <row r="27" spans="1:13" x14ac:dyDescent="0.55000000000000004">
      <c r="A27"/>
      <c r="B27"/>
      <c r="C27"/>
      <c r="D27"/>
      <c r="E27"/>
    </row>
    <row r="28" spans="1:13" x14ac:dyDescent="0.55000000000000004">
      <c r="A28"/>
      <c r="B28"/>
      <c r="C28"/>
      <c r="D28"/>
      <c r="E28"/>
    </row>
    <row r="29" spans="1:13" x14ac:dyDescent="0.55000000000000004">
      <c r="A29"/>
      <c r="B29"/>
      <c r="C29"/>
      <c r="D29"/>
      <c r="E29"/>
    </row>
    <row r="30" spans="1:13" x14ac:dyDescent="0.55000000000000004">
      <c r="A30"/>
      <c r="B30"/>
      <c r="C30"/>
      <c r="D30"/>
      <c r="E30"/>
    </row>
    <row r="31" spans="1:13" x14ac:dyDescent="0.55000000000000004">
      <c r="A31"/>
      <c r="B31"/>
      <c r="C31"/>
      <c r="D31"/>
      <c r="E31"/>
    </row>
    <row r="32" spans="1:13" x14ac:dyDescent="0.55000000000000004">
      <c r="A32"/>
      <c r="B32"/>
      <c r="C32"/>
      <c r="D32"/>
      <c r="E32"/>
    </row>
    <row r="33" spans="1:5" x14ac:dyDescent="0.55000000000000004">
      <c r="A33"/>
      <c r="B33"/>
      <c r="C33"/>
      <c r="D33"/>
      <c r="E33"/>
    </row>
    <row r="34" spans="1:5" x14ac:dyDescent="0.55000000000000004">
      <c r="A34"/>
      <c r="B34"/>
      <c r="C34"/>
      <c r="D34"/>
      <c r="E34"/>
    </row>
    <row r="35" spans="1:5" x14ac:dyDescent="0.55000000000000004">
      <c r="A35"/>
      <c r="B35"/>
      <c r="C35"/>
      <c r="D35"/>
      <c r="E35"/>
    </row>
    <row r="36" spans="1:5" x14ac:dyDescent="0.55000000000000004">
      <c r="A36"/>
      <c r="B36"/>
      <c r="C36"/>
      <c r="D36"/>
      <c r="E36"/>
    </row>
    <row r="37" spans="1:5" x14ac:dyDescent="0.55000000000000004">
      <c r="A37"/>
      <c r="B37"/>
      <c r="C37"/>
      <c r="D37"/>
      <c r="E37"/>
    </row>
    <row r="38" spans="1:5" x14ac:dyDescent="0.55000000000000004">
      <c r="A38"/>
      <c r="B38"/>
      <c r="C38"/>
      <c r="D38"/>
      <c r="E38"/>
    </row>
    <row r="39" spans="1:5" x14ac:dyDescent="0.55000000000000004">
      <c r="A39"/>
      <c r="B39"/>
      <c r="C39"/>
      <c r="D39"/>
      <c r="E39"/>
    </row>
    <row r="40" spans="1:5" x14ac:dyDescent="0.55000000000000004">
      <c r="A40"/>
      <c r="B40"/>
      <c r="C40"/>
      <c r="D40"/>
      <c r="E40"/>
    </row>
    <row r="41" spans="1:5" x14ac:dyDescent="0.55000000000000004">
      <c r="A41"/>
      <c r="B41"/>
      <c r="C41"/>
      <c r="D41"/>
      <c r="E41"/>
    </row>
    <row r="42" spans="1:5" x14ac:dyDescent="0.55000000000000004">
      <c r="A42"/>
      <c r="B42"/>
      <c r="C42"/>
      <c r="D42"/>
      <c r="E42"/>
    </row>
    <row r="43" spans="1:5" x14ac:dyDescent="0.55000000000000004">
      <c r="A43"/>
      <c r="B43"/>
      <c r="C43"/>
      <c r="D43"/>
      <c r="E43"/>
    </row>
    <row r="44" spans="1:5" x14ac:dyDescent="0.55000000000000004">
      <c r="A44"/>
      <c r="B44"/>
      <c r="C44"/>
      <c r="D44"/>
      <c r="E44"/>
    </row>
    <row r="45" spans="1:5" x14ac:dyDescent="0.55000000000000004">
      <c r="A45"/>
      <c r="B45"/>
      <c r="C45"/>
      <c r="D45"/>
      <c r="E45"/>
    </row>
    <row r="46" spans="1:5" x14ac:dyDescent="0.55000000000000004">
      <c r="A46"/>
      <c r="B46"/>
      <c r="C46"/>
      <c r="D46"/>
      <c r="E46"/>
    </row>
    <row r="47" spans="1:5" x14ac:dyDescent="0.55000000000000004">
      <c r="A47"/>
      <c r="B47"/>
      <c r="C47"/>
      <c r="D47"/>
      <c r="E47"/>
    </row>
    <row r="48" spans="1:5" x14ac:dyDescent="0.55000000000000004">
      <c r="A48"/>
      <c r="B48"/>
      <c r="C48"/>
      <c r="D48"/>
      <c r="E48"/>
    </row>
    <row r="49" spans="1:4" x14ac:dyDescent="0.55000000000000004">
      <c r="A49"/>
      <c r="B49"/>
      <c r="C49"/>
      <c r="D49"/>
    </row>
    <row r="50" spans="1:4" x14ac:dyDescent="0.55000000000000004">
      <c r="A50"/>
      <c r="B50"/>
      <c r="C50"/>
      <c r="D50"/>
    </row>
    <row r="51" spans="1:4" x14ac:dyDescent="0.55000000000000004">
      <c r="A51"/>
      <c r="B51"/>
      <c r="C51"/>
      <c r="D51"/>
    </row>
    <row r="52" spans="1:4" x14ac:dyDescent="0.55000000000000004">
      <c r="A52"/>
      <c r="B52"/>
      <c r="C52"/>
      <c r="D52"/>
    </row>
    <row r="53" spans="1:4" x14ac:dyDescent="0.55000000000000004">
      <c r="A53"/>
      <c r="B53"/>
      <c r="C53"/>
      <c r="D53"/>
    </row>
    <row r="54" spans="1:4" x14ac:dyDescent="0.55000000000000004">
      <c r="A54"/>
      <c r="B54"/>
      <c r="C54"/>
      <c r="D54"/>
    </row>
    <row r="55" spans="1:4" x14ac:dyDescent="0.55000000000000004">
      <c r="A55"/>
      <c r="B55"/>
      <c r="C55"/>
      <c r="D55"/>
    </row>
    <row r="56" spans="1:4" x14ac:dyDescent="0.55000000000000004">
      <c r="A56"/>
      <c r="B56"/>
      <c r="C56"/>
      <c r="D56"/>
    </row>
    <row r="57" spans="1:4" x14ac:dyDescent="0.55000000000000004">
      <c r="A57"/>
      <c r="B57"/>
      <c r="C57"/>
      <c r="D57"/>
    </row>
    <row r="58" spans="1:4" x14ac:dyDescent="0.55000000000000004">
      <c r="A58"/>
      <c r="B58"/>
      <c r="C58"/>
      <c r="D58"/>
    </row>
    <row r="59" spans="1:4" x14ac:dyDescent="0.55000000000000004">
      <c r="A59"/>
      <c r="B59"/>
      <c r="C59"/>
      <c r="D59"/>
    </row>
    <row r="60" spans="1:4" x14ac:dyDescent="0.55000000000000004">
      <c r="A60"/>
      <c r="B60"/>
      <c r="C60"/>
    </row>
    <row r="61" spans="1:4" x14ac:dyDescent="0.55000000000000004">
      <c r="A61"/>
      <c r="B61"/>
      <c r="C61"/>
    </row>
    <row r="62" spans="1:4" x14ac:dyDescent="0.55000000000000004">
      <c r="A62"/>
      <c r="B62"/>
      <c r="C62"/>
    </row>
    <row r="63" spans="1:4" x14ac:dyDescent="0.55000000000000004">
      <c r="A63"/>
      <c r="B63"/>
      <c r="C63"/>
    </row>
    <row r="64" spans="1:4" x14ac:dyDescent="0.55000000000000004">
      <c r="A64"/>
      <c r="B64"/>
      <c r="C64"/>
    </row>
    <row r="65" spans="1:3" x14ac:dyDescent="0.55000000000000004">
      <c r="A65"/>
      <c r="B65"/>
      <c r="C65"/>
    </row>
    <row r="66" spans="1:3" x14ac:dyDescent="0.55000000000000004">
      <c r="A66"/>
      <c r="B66"/>
      <c r="C66"/>
    </row>
    <row r="67" spans="1:3" x14ac:dyDescent="0.55000000000000004">
      <c r="A67"/>
      <c r="B67"/>
      <c r="C67"/>
    </row>
    <row r="68" spans="1:3" x14ac:dyDescent="0.55000000000000004">
      <c r="A68"/>
      <c r="B68"/>
      <c r="C68"/>
    </row>
    <row r="69" spans="1:3" x14ac:dyDescent="0.55000000000000004">
      <c r="A69"/>
      <c r="B69"/>
      <c r="C69"/>
    </row>
    <row r="70" spans="1:3" x14ac:dyDescent="0.55000000000000004">
      <c r="A70"/>
      <c r="B70"/>
      <c r="C70"/>
    </row>
    <row r="71" spans="1:3" x14ac:dyDescent="0.55000000000000004">
      <c r="A71"/>
      <c r="B71"/>
      <c r="C71"/>
    </row>
    <row r="72" spans="1:3" x14ac:dyDescent="0.55000000000000004">
      <c r="A72"/>
      <c r="B72"/>
      <c r="C72"/>
    </row>
    <row r="73" spans="1:3" x14ac:dyDescent="0.55000000000000004">
      <c r="A73"/>
      <c r="B73"/>
      <c r="C73"/>
    </row>
    <row r="74" spans="1:3" x14ac:dyDescent="0.55000000000000004">
      <c r="A74"/>
      <c r="B74"/>
      <c r="C74"/>
    </row>
    <row r="75" spans="1:3" x14ac:dyDescent="0.55000000000000004">
      <c r="A75"/>
      <c r="B75"/>
      <c r="C75"/>
    </row>
    <row r="76" spans="1:3" x14ac:dyDescent="0.55000000000000004">
      <c r="A76"/>
      <c r="B76"/>
      <c r="C76"/>
    </row>
    <row r="77" spans="1:3" x14ac:dyDescent="0.55000000000000004">
      <c r="A77"/>
      <c r="B77"/>
      <c r="C77"/>
    </row>
    <row r="78" spans="1:3" x14ac:dyDescent="0.55000000000000004">
      <c r="A78"/>
      <c r="B78"/>
      <c r="C78"/>
    </row>
    <row r="79" spans="1:3" x14ac:dyDescent="0.55000000000000004">
      <c r="A79"/>
      <c r="B79"/>
      <c r="C79"/>
    </row>
    <row r="80" spans="1:3" x14ac:dyDescent="0.55000000000000004">
      <c r="A80"/>
      <c r="B80"/>
      <c r="C80"/>
    </row>
    <row r="81" spans="1:3" x14ac:dyDescent="0.55000000000000004">
      <c r="A81"/>
      <c r="B81"/>
      <c r="C81"/>
    </row>
    <row r="82" spans="1:3" x14ac:dyDescent="0.55000000000000004">
      <c r="A82"/>
      <c r="B82"/>
      <c r="C82"/>
    </row>
    <row r="83" spans="1:3" x14ac:dyDescent="0.55000000000000004">
      <c r="A83"/>
      <c r="B83"/>
      <c r="C83"/>
    </row>
    <row r="84" spans="1:3" x14ac:dyDescent="0.55000000000000004">
      <c r="A84"/>
      <c r="B84"/>
      <c r="C84"/>
    </row>
    <row r="85" spans="1:3" x14ac:dyDescent="0.55000000000000004">
      <c r="A85"/>
      <c r="B85"/>
      <c r="C85"/>
    </row>
    <row r="86" spans="1:3" x14ac:dyDescent="0.55000000000000004">
      <c r="A86"/>
      <c r="B86"/>
      <c r="C86"/>
    </row>
    <row r="87" spans="1:3" x14ac:dyDescent="0.55000000000000004">
      <c r="A87"/>
      <c r="B87"/>
      <c r="C87"/>
    </row>
    <row r="88" spans="1:3" x14ac:dyDescent="0.55000000000000004">
      <c r="A88"/>
      <c r="B88"/>
      <c r="C88"/>
    </row>
    <row r="89" spans="1:3" x14ac:dyDescent="0.55000000000000004">
      <c r="A89"/>
      <c r="B89"/>
      <c r="C89"/>
    </row>
    <row r="90" spans="1:3" x14ac:dyDescent="0.55000000000000004">
      <c r="A90"/>
      <c r="B90"/>
      <c r="C90"/>
    </row>
    <row r="91" spans="1:3" x14ac:dyDescent="0.55000000000000004">
      <c r="A91"/>
      <c r="B91"/>
      <c r="C91"/>
    </row>
    <row r="92" spans="1:3" x14ac:dyDescent="0.55000000000000004">
      <c r="A92"/>
      <c r="B92"/>
      <c r="C92"/>
    </row>
    <row r="93" spans="1:3" x14ac:dyDescent="0.55000000000000004">
      <c r="A93"/>
      <c r="B93"/>
      <c r="C93"/>
    </row>
    <row r="94" spans="1:3" x14ac:dyDescent="0.55000000000000004">
      <c r="A94"/>
      <c r="B94"/>
      <c r="C94"/>
    </row>
    <row r="95" spans="1:3" x14ac:dyDescent="0.55000000000000004">
      <c r="A95"/>
      <c r="B95"/>
      <c r="C95"/>
    </row>
    <row r="96" spans="1:3" x14ac:dyDescent="0.55000000000000004">
      <c r="A96"/>
      <c r="B96"/>
      <c r="C96"/>
    </row>
    <row r="97" spans="1:3" x14ac:dyDescent="0.55000000000000004">
      <c r="A97"/>
      <c r="B97"/>
      <c r="C97"/>
    </row>
    <row r="98" spans="1:3" x14ac:dyDescent="0.55000000000000004">
      <c r="A98"/>
      <c r="B98"/>
      <c r="C98"/>
    </row>
    <row r="99" spans="1:3" x14ac:dyDescent="0.55000000000000004">
      <c r="A99"/>
      <c r="B99"/>
      <c r="C99"/>
    </row>
    <row r="100" spans="1:3" x14ac:dyDescent="0.55000000000000004">
      <c r="A100"/>
      <c r="B100"/>
      <c r="C100"/>
    </row>
    <row r="101" spans="1:3" x14ac:dyDescent="0.55000000000000004">
      <c r="A101"/>
      <c r="B101"/>
      <c r="C101"/>
    </row>
    <row r="102" spans="1:3" x14ac:dyDescent="0.55000000000000004">
      <c r="A102"/>
      <c r="B102"/>
      <c r="C102"/>
    </row>
    <row r="103" spans="1:3" x14ac:dyDescent="0.55000000000000004">
      <c r="A103"/>
      <c r="B103"/>
      <c r="C103"/>
    </row>
    <row r="104" spans="1:3" x14ac:dyDescent="0.55000000000000004">
      <c r="A104"/>
      <c r="B104"/>
      <c r="C104"/>
    </row>
    <row r="105" spans="1:3" x14ac:dyDescent="0.55000000000000004">
      <c r="A105"/>
      <c r="B105"/>
      <c r="C105"/>
    </row>
    <row r="106" spans="1:3" x14ac:dyDescent="0.55000000000000004">
      <c r="A106"/>
      <c r="B106"/>
      <c r="C106"/>
    </row>
    <row r="107" spans="1:3" x14ac:dyDescent="0.55000000000000004">
      <c r="A107"/>
      <c r="B107"/>
      <c r="C107"/>
    </row>
    <row r="108" spans="1:3" x14ac:dyDescent="0.55000000000000004">
      <c r="A108"/>
      <c r="B108"/>
      <c r="C108"/>
    </row>
    <row r="109" spans="1:3" x14ac:dyDescent="0.55000000000000004">
      <c r="A109"/>
      <c r="B109"/>
      <c r="C109"/>
    </row>
    <row r="110" spans="1:3" x14ac:dyDescent="0.55000000000000004">
      <c r="A110"/>
      <c r="B110"/>
      <c r="C110"/>
    </row>
    <row r="111" spans="1:3" x14ac:dyDescent="0.55000000000000004">
      <c r="A111"/>
      <c r="B111"/>
      <c r="C111"/>
    </row>
    <row r="112" spans="1:3" x14ac:dyDescent="0.55000000000000004">
      <c r="A112"/>
      <c r="B112"/>
      <c r="C112"/>
    </row>
    <row r="113" spans="1:3" x14ac:dyDescent="0.55000000000000004">
      <c r="A113"/>
      <c r="B113"/>
      <c r="C113"/>
    </row>
    <row r="114" spans="1:3" x14ac:dyDescent="0.55000000000000004">
      <c r="A114"/>
      <c r="B114"/>
      <c r="C114"/>
    </row>
    <row r="115" spans="1:3" x14ac:dyDescent="0.55000000000000004">
      <c r="A115"/>
      <c r="B115"/>
      <c r="C115"/>
    </row>
    <row r="116" spans="1:3" x14ac:dyDescent="0.55000000000000004">
      <c r="A116"/>
      <c r="B116"/>
      <c r="C116"/>
    </row>
    <row r="117" spans="1:3" x14ac:dyDescent="0.55000000000000004">
      <c r="A117"/>
      <c r="B117"/>
      <c r="C117"/>
    </row>
    <row r="118" spans="1:3" x14ac:dyDescent="0.55000000000000004">
      <c r="A118"/>
      <c r="B118"/>
      <c r="C118"/>
    </row>
    <row r="119" spans="1:3" x14ac:dyDescent="0.55000000000000004">
      <c r="A119"/>
      <c r="B119"/>
      <c r="C119"/>
    </row>
    <row r="120" spans="1:3" x14ac:dyDescent="0.55000000000000004">
      <c r="A120"/>
      <c r="B120"/>
      <c r="C120"/>
    </row>
    <row r="121" spans="1:3" x14ac:dyDescent="0.55000000000000004">
      <c r="A121"/>
      <c r="B121"/>
      <c r="C121"/>
    </row>
    <row r="122" spans="1:3" x14ac:dyDescent="0.55000000000000004">
      <c r="A122"/>
      <c r="B122"/>
      <c r="C122"/>
    </row>
    <row r="123" spans="1:3" x14ac:dyDescent="0.55000000000000004">
      <c r="A123"/>
      <c r="B123"/>
      <c r="C123"/>
    </row>
    <row r="124" spans="1:3" x14ac:dyDescent="0.55000000000000004">
      <c r="A124"/>
      <c r="B124"/>
      <c r="C124"/>
    </row>
    <row r="125" spans="1:3" x14ac:dyDescent="0.55000000000000004">
      <c r="A125"/>
      <c r="B125"/>
      <c r="C125"/>
    </row>
    <row r="126" spans="1:3" x14ac:dyDescent="0.55000000000000004">
      <c r="A126"/>
      <c r="B126"/>
      <c r="C126"/>
    </row>
    <row r="127" spans="1:3" x14ac:dyDescent="0.55000000000000004">
      <c r="A127"/>
      <c r="B127"/>
      <c r="C127"/>
    </row>
    <row r="128" spans="1:3" x14ac:dyDescent="0.55000000000000004">
      <c r="A128"/>
      <c r="B128"/>
      <c r="C128"/>
    </row>
    <row r="129" spans="1:3" x14ac:dyDescent="0.55000000000000004">
      <c r="A129"/>
      <c r="B129"/>
      <c r="C129"/>
    </row>
    <row r="130" spans="1:3" x14ac:dyDescent="0.55000000000000004">
      <c r="A130"/>
      <c r="B130"/>
      <c r="C130"/>
    </row>
  </sheetData>
  <sheetProtection pivotTables="0"/>
  <phoneticPr fontId="1"/>
  <pageMargins left="0.7" right="0.7" top="0.75" bottom="0.75" header="0.3" footer="0.3"/>
  <pageSetup paperSize="9" orientation="portrait" horizontalDpi="4294967293" verticalDpi="0" r:id="rId2"/>
  <drawing r:id="rId3"/>
  <legacyDrawing r:id="rId4"/>
  <controls>
    <mc:AlternateContent xmlns:mc="http://schemas.openxmlformats.org/markup-compatibility/2006">
      <mc:Choice Requires="x14">
        <control shapeId="7178" r:id="rId5" name="GoToSettingsBtn">
          <controlPr defaultSize="0" autoLine="0" r:id="rId6">
            <anchor moveWithCells="1">
              <from>
                <xdr:col>8</xdr:col>
                <xdr:colOff>228600</xdr:colOff>
                <xdr:row>0</xdr:row>
                <xdr:rowOff>0</xdr:rowOff>
              </from>
              <to>
                <xdr:col>11</xdr:col>
                <xdr:colOff>323850</xdr:colOff>
                <xdr:row>1</xdr:row>
                <xdr:rowOff>127000</xdr:rowOff>
              </to>
            </anchor>
          </controlPr>
        </control>
      </mc:Choice>
      <mc:Fallback>
        <control shapeId="7178" r:id="rId5" name="GoToSettingsBtn"/>
      </mc:Fallback>
    </mc:AlternateContent>
    <mc:AlternateContent xmlns:mc="http://schemas.openxmlformats.org/markup-compatibility/2006">
      <mc:Choice Requires="x14">
        <control shapeId="7177" r:id="rId7" name="ResetFilterBtn">
          <controlPr defaultSize="0" autoLine="0" r:id="rId8">
            <anchor moveWithCells="1">
              <from>
                <xdr:col>9</xdr:col>
                <xdr:colOff>488950</xdr:colOff>
                <xdr:row>3</xdr:row>
                <xdr:rowOff>19050</xdr:rowOff>
              </from>
              <to>
                <xdr:col>12</xdr:col>
                <xdr:colOff>412750</xdr:colOff>
                <xdr:row>4</xdr:row>
                <xdr:rowOff>146050</xdr:rowOff>
              </to>
            </anchor>
          </controlPr>
        </control>
      </mc:Choice>
      <mc:Fallback>
        <control shapeId="7177" r:id="rId7" name="ResetFilterBtn"/>
      </mc:Fallback>
    </mc:AlternateContent>
    <mc:AlternateContent xmlns:mc="http://schemas.openxmlformats.org/markup-compatibility/2006">
      <mc:Choice Requires="x14">
        <control shapeId="7176" r:id="rId9" name="SortByTimesBtn">
          <controlPr defaultSize="0" autoLine="0" r:id="rId10">
            <anchor moveWithCells="1">
              <from>
                <xdr:col>7</xdr:col>
                <xdr:colOff>228600</xdr:colOff>
                <xdr:row>3</xdr:row>
                <xdr:rowOff>19050</xdr:rowOff>
              </from>
              <to>
                <xdr:col>9</xdr:col>
                <xdr:colOff>482600</xdr:colOff>
                <xdr:row>4</xdr:row>
                <xdr:rowOff>146050</xdr:rowOff>
              </to>
            </anchor>
          </controlPr>
        </control>
      </mc:Choice>
      <mc:Fallback>
        <control shapeId="7176" r:id="rId9" name="SortByTimesBtn"/>
      </mc:Fallback>
    </mc:AlternateContent>
    <mc:AlternateContent xmlns:mc="http://schemas.openxmlformats.org/markup-compatibility/2006">
      <mc:Choice Requires="x14">
        <control shapeId="7175" r:id="rId11" name="SortByRankBtn">
          <controlPr defaultSize="0" autoLine="0" r:id="rId12">
            <anchor moveWithCells="1">
              <from>
                <xdr:col>4</xdr:col>
                <xdr:colOff>1308100</xdr:colOff>
                <xdr:row>3</xdr:row>
                <xdr:rowOff>19050</xdr:rowOff>
              </from>
              <to>
                <xdr:col>7</xdr:col>
                <xdr:colOff>228600</xdr:colOff>
                <xdr:row>4</xdr:row>
                <xdr:rowOff>146050</xdr:rowOff>
              </to>
            </anchor>
          </controlPr>
        </control>
      </mc:Choice>
      <mc:Fallback>
        <control shapeId="7175" r:id="rId11" name="SortByRankBtn"/>
      </mc:Fallback>
    </mc:AlternateContent>
    <mc:AlternateContent xmlns:mc="http://schemas.openxmlformats.org/markup-compatibility/2006">
      <mc:Choice Requires="x14">
        <control shapeId="7174" r:id="rId13" name="SortByPointsBtn">
          <controlPr defaultSize="0" autoLine="0" autoPict="0" altText="" r:id="rId14">
            <anchor moveWithCells="1">
              <from>
                <xdr:col>4</xdr:col>
                <xdr:colOff>38100</xdr:colOff>
                <xdr:row>3</xdr:row>
                <xdr:rowOff>19050</xdr:rowOff>
              </from>
              <to>
                <xdr:col>4</xdr:col>
                <xdr:colOff>1308100</xdr:colOff>
                <xdr:row>4</xdr:row>
                <xdr:rowOff>146050</xdr:rowOff>
              </to>
            </anchor>
          </controlPr>
        </control>
      </mc:Choice>
      <mc:Fallback>
        <control shapeId="7174" r:id="rId13" name="SortByPointsBtn"/>
      </mc:Fallback>
    </mc:AlternateContent>
    <mc:AlternateContent xmlns:mc="http://schemas.openxmlformats.org/markup-compatibility/2006">
      <mc:Choice Requires="x14">
        <control shapeId="7170" r:id="rId15" name="GoToRegistDataBtn">
          <controlPr defaultSize="0" autoLine="0" r:id="rId16">
            <anchor moveWithCells="1">
              <from>
                <xdr:col>4</xdr:col>
                <xdr:colOff>38100</xdr:colOff>
                <xdr:row>0</xdr:row>
                <xdr:rowOff>0</xdr:rowOff>
              </from>
              <to>
                <xdr:col>5</xdr:col>
                <xdr:colOff>63500</xdr:colOff>
                <xdr:row>1</xdr:row>
                <xdr:rowOff>127000</xdr:rowOff>
              </to>
            </anchor>
          </controlPr>
        </control>
      </mc:Choice>
      <mc:Fallback>
        <control shapeId="7170" r:id="rId15" name="GoToRegistDataBtn"/>
      </mc:Fallback>
    </mc:AlternateContent>
    <mc:AlternateContent xmlns:mc="http://schemas.openxmlformats.org/markup-compatibility/2006">
      <mc:Choice Requires="x14">
        <control shapeId="7172" r:id="rId17" name="GoToDataBtn">
          <controlPr defaultSize="0" autoLine="0" r:id="rId18">
            <anchor moveWithCells="1">
              <from>
                <xdr:col>5</xdr:col>
                <xdr:colOff>63500</xdr:colOff>
                <xdr:row>0</xdr:row>
                <xdr:rowOff>0</xdr:rowOff>
              </from>
              <to>
                <xdr:col>8</xdr:col>
                <xdr:colOff>228600</xdr:colOff>
                <xdr:row>1</xdr:row>
                <xdr:rowOff>127000</xdr:rowOff>
              </to>
            </anchor>
          </controlPr>
        </control>
      </mc:Choice>
      <mc:Fallback>
        <control shapeId="7172" r:id="rId17" name="GoToDataBt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B49EFC-BBCE-457B-A50C-944926B0FB36}">
  <sheetPr codeName="Sheet11"/>
  <dimension ref="A1:K140"/>
  <sheetViews>
    <sheetView zoomScale="80" zoomScaleNormal="80" workbookViewId="0">
      <pane ySplit="1" topLeftCell="A2" activePane="bottomLeft" state="frozen"/>
      <selection activeCell="A28" sqref="A28"/>
      <selection pane="bottomLeft"/>
    </sheetView>
  </sheetViews>
  <sheetFormatPr defaultRowHeight="18" x14ac:dyDescent="0.55000000000000004"/>
  <cols>
    <col min="1" max="1" width="13.25" style="38" customWidth="1"/>
    <col min="2" max="2" width="10" bestFit="1" customWidth="1"/>
    <col min="3" max="3" width="6.33203125" customWidth="1"/>
    <col min="4" max="4" width="10" customWidth="1"/>
    <col min="5" max="5" width="12.58203125" customWidth="1"/>
    <col min="6" max="7" width="27.83203125" customWidth="1"/>
    <col min="8" max="8" width="17" customWidth="1"/>
    <col min="9" max="9" width="14.83203125" customWidth="1"/>
    <col min="10" max="10" width="14.9140625" customWidth="1"/>
    <col min="11" max="11" width="15.6640625" customWidth="1"/>
    <col min="12" max="15" width="10.83203125" customWidth="1"/>
  </cols>
  <sheetData>
    <row r="1" spans="1:11" s="36" customFormat="1" ht="32.5" customHeight="1" x14ac:dyDescent="0.55000000000000004">
      <c r="A1" s="37" t="s">
        <v>408</v>
      </c>
      <c r="B1" s="36" t="s">
        <v>409</v>
      </c>
      <c r="C1" s="36" t="s">
        <v>410</v>
      </c>
      <c r="D1" s="36" t="s">
        <v>411</v>
      </c>
      <c r="E1" s="36" t="s">
        <v>97</v>
      </c>
      <c r="F1" s="36" t="s">
        <v>226</v>
      </c>
      <c r="G1" s="36" t="s">
        <v>227</v>
      </c>
      <c r="H1" s="36" t="s">
        <v>412</v>
      </c>
      <c r="I1" s="36" t="s">
        <v>417</v>
      </c>
      <c r="J1" s="36" t="s">
        <v>418</v>
      </c>
      <c r="K1" s="36" t="s">
        <v>413</v>
      </c>
    </row>
    <row r="2" spans="1:11" x14ac:dyDescent="0.55000000000000004">
      <c r="B2" s="42"/>
    </row>
    <row r="3" spans="1:11" x14ac:dyDescent="0.55000000000000004">
      <c r="B3" s="58"/>
    </row>
    <row r="4" spans="1:11" x14ac:dyDescent="0.55000000000000004">
      <c r="B4" s="58"/>
    </row>
    <row r="5" spans="1:11" x14ac:dyDescent="0.55000000000000004">
      <c r="B5" s="58"/>
    </row>
    <row r="6" spans="1:11" x14ac:dyDescent="0.55000000000000004">
      <c r="B6" s="58"/>
    </row>
    <row r="7" spans="1:11" x14ac:dyDescent="0.55000000000000004">
      <c r="B7" s="58"/>
    </row>
    <row r="8" spans="1:11" x14ac:dyDescent="0.55000000000000004">
      <c r="B8" s="58"/>
    </row>
    <row r="9" spans="1:11" x14ac:dyDescent="0.55000000000000004">
      <c r="B9" s="58"/>
    </row>
    <row r="10" spans="1:11" x14ac:dyDescent="0.55000000000000004">
      <c r="B10" s="42"/>
    </row>
    <row r="11" spans="1:11" x14ac:dyDescent="0.55000000000000004">
      <c r="B11" s="42"/>
    </row>
    <row r="12" spans="1:11" x14ac:dyDescent="0.55000000000000004">
      <c r="B12" s="42"/>
    </row>
    <row r="13" spans="1:11" x14ac:dyDescent="0.55000000000000004">
      <c r="B13" s="42"/>
    </row>
    <row r="14" spans="1:11" x14ac:dyDescent="0.55000000000000004">
      <c r="B14" s="42"/>
    </row>
    <row r="15" spans="1:11" x14ac:dyDescent="0.55000000000000004">
      <c r="B15" s="42"/>
    </row>
    <row r="16" spans="1:11" x14ac:dyDescent="0.55000000000000004">
      <c r="B16" s="42"/>
    </row>
    <row r="17" spans="2:2" x14ac:dyDescent="0.55000000000000004">
      <c r="B17" s="42"/>
    </row>
    <row r="18" spans="2:2" x14ac:dyDescent="0.55000000000000004">
      <c r="B18" s="42"/>
    </row>
    <row r="19" spans="2:2" x14ac:dyDescent="0.55000000000000004">
      <c r="B19" s="42"/>
    </row>
    <row r="20" spans="2:2" x14ac:dyDescent="0.55000000000000004">
      <c r="B20" s="42"/>
    </row>
    <row r="21" spans="2:2" x14ac:dyDescent="0.55000000000000004">
      <c r="B21" s="42"/>
    </row>
    <row r="22" spans="2:2" x14ac:dyDescent="0.55000000000000004">
      <c r="B22" s="42"/>
    </row>
    <row r="23" spans="2:2" x14ac:dyDescent="0.55000000000000004">
      <c r="B23" s="42"/>
    </row>
    <row r="24" spans="2:2" x14ac:dyDescent="0.55000000000000004">
      <c r="B24" s="42"/>
    </row>
    <row r="25" spans="2:2" x14ac:dyDescent="0.55000000000000004">
      <c r="B25" s="42"/>
    </row>
    <row r="26" spans="2:2" x14ac:dyDescent="0.55000000000000004">
      <c r="B26" s="42"/>
    </row>
    <row r="27" spans="2:2" x14ac:dyDescent="0.55000000000000004">
      <c r="B27" s="42"/>
    </row>
    <row r="28" spans="2:2" x14ac:dyDescent="0.55000000000000004">
      <c r="B28" s="42"/>
    </row>
    <row r="29" spans="2:2" x14ac:dyDescent="0.55000000000000004">
      <c r="B29" s="42"/>
    </row>
    <row r="30" spans="2:2" x14ac:dyDescent="0.55000000000000004">
      <c r="B30" s="42"/>
    </row>
    <row r="31" spans="2:2" x14ac:dyDescent="0.55000000000000004">
      <c r="B31" s="42"/>
    </row>
    <row r="32" spans="2:2" x14ac:dyDescent="0.55000000000000004">
      <c r="B32" s="42"/>
    </row>
    <row r="33" spans="2:2" x14ac:dyDescent="0.55000000000000004">
      <c r="B33" s="42"/>
    </row>
    <row r="34" spans="2:2" x14ac:dyDescent="0.55000000000000004">
      <c r="B34" s="42"/>
    </row>
    <row r="35" spans="2:2" x14ac:dyDescent="0.55000000000000004">
      <c r="B35" s="42"/>
    </row>
    <row r="36" spans="2:2" x14ac:dyDescent="0.55000000000000004">
      <c r="B36" s="42"/>
    </row>
    <row r="37" spans="2:2" x14ac:dyDescent="0.55000000000000004">
      <c r="B37" s="42"/>
    </row>
    <row r="38" spans="2:2" x14ac:dyDescent="0.55000000000000004">
      <c r="B38" s="42"/>
    </row>
    <row r="39" spans="2:2" x14ac:dyDescent="0.55000000000000004">
      <c r="B39" s="42"/>
    </row>
    <row r="40" spans="2:2" x14ac:dyDescent="0.55000000000000004">
      <c r="B40" s="42"/>
    </row>
    <row r="41" spans="2:2" x14ac:dyDescent="0.55000000000000004">
      <c r="B41" s="42"/>
    </row>
    <row r="42" spans="2:2" x14ac:dyDescent="0.55000000000000004">
      <c r="B42" s="42"/>
    </row>
    <row r="43" spans="2:2" x14ac:dyDescent="0.55000000000000004">
      <c r="B43" s="42"/>
    </row>
    <row r="44" spans="2:2" x14ac:dyDescent="0.55000000000000004">
      <c r="B44" s="42"/>
    </row>
    <row r="45" spans="2:2" x14ac:dyDescent="0.55000000000000004">
      <c r="B45" s="42"/>
    </row>
    <row r="46" spans="2:2" x14ac:dyDescent="0.55000000000000004">
      <c r="B46" s="42"/>
    </row>
    <row r="47" spans="2:2" x14ac:dyDescent="0.55000000000000004">
      <c r="B47" s="42"/>
    </row>
    <row r="48" spans="2:2" x14ac:dyDescent="0.55000000000000004">
      <c r="B48" s="42"/>
    </row>
    <row r="49" spans="2:2" x14ac:dyDescent="0.55000000000000004">
      <c r="B49" s="42"/>
    </row>
    <row r="50" spans="2:2" x14ac:dyDescent="0.55000000000000004">
      <c r="B50" s="42"/>
    </row>
    <row r="51" spans="2:2" x14ac:dyDescent="0.55000000000000004">
      <c r="B51" s="42"/>
    </row>
    <row r="52" spans="2:2" x14ac:dyDescent="0.55000000000000004">
      <c r="B52" s="42"/>
    </row>
    <row r="53" spans="2:2" x14ac:dyDescent="0.55000000000000004">
      <c r="B53" s="42"/>
    </row>
    <row r="54" spans="2:2" x14ac:dyDescent="0.55000000000000004">
      <c r="B54" s="42"/>
    </row>
    <row r="55" spans="2:2" x14ac:dyDescent="0.55000000000000004">
      <c r="B55" s="42"/>
    </row>
    <row r="56" spans="2:2" x14ac:dyDescent="0.55000000000000004">
      <c r="B56" s="42"/>
    </row>
    <row r="57" spans="2:2" x14ac:dyDescent="0.55000000000000004">
      <c r="B57" s="42"/>
    </row>
    <row r="58" spans="2:2" x14ac:dyDescent="0.55000000000000004">
      <c r="B58" s="42"/>
    </row>
    <row r="59" spans="2:2" x14ac:dyDescent="0.55000000000000004">
      <c r="B59" s="42"/>
    </row>
    <row r="60" spans="2:2" x14ac:dyDescent="0.55000000000000004">
      <c r="B60" s="42"/>
    </row>
    <row r="61" spans="2:2" x14ac:dyDescent="0.55000000000000004">
      <c r="B61" s="42"/>
    </row>
    <row r="62" spans="2:2" x14ac:dyDescent="0.55000000000000004">
      <c r="B62" s="42"/>
    </row>
    <row r="63" spans="2:2" x14ac:dyDescent="0.55000000000000004">
      <c r="B63" s="42"/>
    </row>
    <row r="64" spans="2:2" x14ac:dyDescent="0.55000000000000004">
      <c r="B64" s="42"/>
    </row>
    <row r="65" spans="2:2" x14ac:dyDescent="0.55000000000000004">
      <c r="B65" s="42"/>
    </row>
    <row r="66" spans="2:2" x14ac:dyDescent="0.55000000000000004">
      <c r="B66" s="42"/>
    </row>
    <row r="67" spans="2:2" x14ac:dyDescent="0.55000000000000004">
      <c r="B67" s="42"/>
    </row>
    <row r="68" spans="2:2" x14ac:dyDescent="0.55000000000000004">
      <c r="B68" s="42"/>
    </row>
    <row r="69" spans="2:2" x14ac:dyDescent="0.55000000000000004">
      <c r="B69" s="42"/>
    </row>
    <row r="70" spans="2:2" x14ac:dyDescent="0.55000000000000004">
      <c r="B70" s="42"/>
    </row>
    <row r="71" spans="2:2" x14ac:dyDescent="0.55000000000000004">
      <c r="B71" s="42"/>
    </row>
    <row r="72" spans="2:2" x14ac:dyDescent="0.55000000000000004">
      <c r="B72" s="42"/>
    </row>
    <row r="73" spans="2:2" x14ac:dyDescent="0.55000000000000004">
      <c r="B73" s="42"/>
    </row>
    <row r="74" spans="2:2" x14ac:dyDescent="0.55000000000000004">
      <c r="B74" s="42"/>
    </row>
    <row r="75" spans="2:2" x14ac:dyDescent="0.55000000000000004">
      <c r="B75" s="42"/>
    </row>
    <row r="76" spans="2:2" x14ac:dyDescent="0.55000000000000004">
      <c r="B76" s="42"/>
    </row>
    <row r="77" spans="2:2" x14ac:dyDescent="0.55000000000000004">
      <c r="B77" s="42"/>
    </row>
    <row r="78" spans="2:2" x14ac:dyDescent="0.55000000000000004">
      <c r="B78" s="42"/>
    </row>
    <row r="79" spans="2:2" x14ac:dyDescent="0.55000000000000004">
      <c r="B79" s="42"/>
    </row>
    <row r="80" spans="2:2" x14ac:dyDescent="0.55000000000000004">
      <c r="B80" s="42"/>
    </row>
    <row r="81" spans="2:2" x14ac:dyDescent="0.55000000000000004">
      <c r="B81" s="42"/>
    </row>
    <row r="82" spans="2:2" x14ac:dyDescent="0.55000000000000004">
      <c r="B82" s="42"/>
    </row>
    <row r="83" spans="2:2" x14ac:dyDescent="0.55000000000000004">
      <c r="B83" s="42"/>
    </row>
    <row r="84" spans="2:2" x14ac:dyDescent="0.55000000000000004">
      <c r="B84" s="42"/>
    </row>
    <row r="85" spans="2:2" x14ac:dyDescent="0.55000000000000004">
      <c r="B85" s="42"/>
    </row>
    <row r="86" spans="2:2" x14ac:dyDescent="0.55000000000000004">
      <c r="B86" s="42"/>
    </row>
    <row r="87" spans="2:2" x14ac:dyDescent="0.55000000000000004">
      <c r="B87" s="42"/>
    </row>
    <row r="88" spans="2:2" x14ac:dyDescent="0.55000000000000004">
      <c r="B88" s="42"/>
    </row>
    <row r="89" spans="2:2" x14ac:dyDescent="0.55000000000000004">
      <c r="B89" s="42"/>
    </row>
    <row r="90" spans="2:2" x14ac:dyDescent="0.55000000000000004">
      <c r="B90" s="42"/>
    </row>
    <row r="91" spans="2:2" x14ac:dyDescent="0.55000000000000004">
      <c r="B91" s="42"/>
    </row>
    <row r="92" spans="2:2" x14ac:dyDescent="0.55000000000000004">
      <c r="B92" s="42"/>
    </row>
    <row r="93" spans="2:2" x14ac:dyDescent="0.55000000000000004">
      <c r="B93" s="42"/>
    </row>
    <row r="94" spans="2:2" x14ac:dyDescent="0.55000000000000004">
      <c r="B94" s="42"/>
    </row>
    <row r="95" spans="2:2" x14ac:dyDescent="0.55000000000000004">
      <c r="B95" s="42"/>
    </row>
    <row r="96" spans="2:2" x14ac:dyDescent="0.55000000000000004">
      <c r="B96" s="42"/>
    </row>
    <row r="97" spans="2:2" x14ac:dyDescent="0.55000000000000004">
      <c r="B97" s="42"/>
    </row>
    <row r="98" spans="2:2" x14ac:dyDescent="0.55000000000000004">
      <c r="B98" s="42"/>
    </row>
    <row r="99" spans="2:2" x14ac:dyDescent="0.55000000000000004">
      <c r="B99" s="42"/>
    </row>
    <row r="100" spans="2:2" x14ac:dyDescent="0.55000000000000004">
      <c r="B100" s="42"/>
    </row>
    <row r="101" spans="2:2" x14ac:dyDescent="0.55000000000000004">
      <c r="B101" s="42"/>
    </row>
    <row r="102" spans="2:2" x14ac:dyDescent="0.55000000000000004">
      <c r="B102" s="42"/>
    </row>
    <row r="103" spans="2:2" x14ac:dyDescent="0.55000000000000004">
      <c r="B103" s="42"/>
    </row>
    <row r="104" spans="2:2" x14ac:dyDescent="0.55000000000000004">
      <c r="B104" s="42"/>
    </row>
    <row r="105" spans="2:2" x14ac:dyDescent="0.55000000000000004">
      <c r="B105" s="42"/>
    </row>
    <row r="106" spans="2:2" x14ac:dyDescent="0.55000000000000004">
      <c r="B106" s="42"/>
    </row>
    <row r="107" spans="2:2" x14ac:dyDescent="0.55000000000000004">
      <c r="B107" s="42"/>
    </row>
    <row r="108" spans="2:2" x14ac:dyDescent="0.55000000000000004">
      <c r="B108" s="42"/>
    </row>
    <row r="109" spans="2:2" x14ac:dyDescent="0.55000000000000004">
      <c r="B109" s="42"/>
    </row>
    <row r="110" spans="2:2" x14ac:dyDescent="0.55000000000000004">
      <c r="B110" s="42"/>
    </row>
    <row r="111" spans="2:2" x14ac:dyDescent="0.55000000000000004">
      <c r="B111" s="42"/>
    </row>
    <row r="112" spans="2:2" x14ac:dyDescent="0.55000000000000004">
      <c r="B112" s="42"/>
    </row>
    <row r="113" spans="2:2" x14ac:dyDescent="0.55000000000000004">
      <c r="B113" s="42"/>
    </row>
    <row r="114" spans="2:2" x14ac:dyDescent="0.55000000000000004">
      <c r="B114" s="42"/>
    </row>
    <row r="115" spans="2:2" x14ac:dyDescent="0.55000000000000004">
      <c r="B115" s="42"/>
    </row>
    <row r="116" spans="2:2" x14ac:dyDescent="0.55000000000000004">
      <c r="B116" s="42"/>
    </row>
    <row r="117" spans="2:2" x14ac:dyDescent="0.55000000000000004">
      <c r="B117" s="42"/>
    </row>
    <row r="118" spans="2:2" x14ac:dyDescent="0.55000000000000004">
      <c r="B118" s="42"/>
    </row>
    <row r="119" spans="2:2" x14ac:dyDescent="0.55000000000000004">
      <c r="B119" s="42"/>
    </row>
    <row r="120" spans="2:2" x14ac:dyDescent="0.55000000000000004">
      <c r="B120" s="42"/>
    </row>
    <row r="121" spans="2:2" x14ac:dyDescent="0.55000000000000004">
      <c r="B121" s="42"/>
    </row>
    <row r="122" spans="2:2" x14ac:dyDescent="0.55000000000000004">
      <c r="B122" s="42"/>
    </row>
    <row r="123" spans="2:2" x14ac:dyDescent="0.55000000000000004">
      <c r="B123" s="42"/>
    </row>
    <row r="124" spans="2:2" x14ac:dyDescent="0.55000000000000004">
      <c r="B124" s="42"/>
    </row>
    <row r="125" spans="2:2" x14ac:dyDescent="0.55000000000000004">
      <c r="B125" s="42"/>
    </row>
    <row r="126" spans="2:2" x14ac:dyDescent="0.55000000000000004">
      <c r="B126" s="42"/>
    </row>
    <row r="127" spans="2:2" x14ac:dyDescent="0.55000000000000004">
      <c r="B127" s="42"/>
    </row>
    <row r="128" spans="2:2" x14ac:dyDescent="0.55000000000000004">
      <c r="B128" s="42"/>
    </row>
    <row r="129" spans="2:2" x14ac:dyDescent="0.55000000000000004">
      <c r="B129" s="42"/>
    </row>
    <row r="130" spans="2:2" x14ac:dyDescent="0.55000000000000004">
      <c r="B130" s="42"/>
    </row>
    <row r="131" spans="2:2" x14ac:dyDescent="0.55000000000000004">
      <c r="B131" s="42"/>
    </row>
    <row r="132" spans="2:2" x14ac:dyDescent="0.55000000000000004">
      <c r="B132" s="42"/>
    </row>
    <row r="133" spans="2:2" x14ac:dyDescent="0.55000000000000004">
      <c r="B133" s="42"/>
    </row>
    <row r="134" spans="2:2" x14ac:dyDescent="0.55000000000000004">
      <c r="B134" s="42"/>
    </row>
    <row r="135" spans="2:2" x14ac:dyDescent="0.55000000000000004">
      <c r="B135" s="42"/>
    </row>
    <row r="136" spans="2:2" x14ac:dyDescent="0.55000000000000004">
      <c r="B136" s="42"/>
    </row>
    <row r="137" spans="2:2" x14ac:dyDescent="0.55000000000000004">
      <c r="B137" s="42"/>
    </row>
    <row r="138" spans="2:2" x14ac:dyDescent="0.55000000000000004">
      <c r="B138" s="42"/>
    </row>
    <row r="139" spans="2:2" x14ac:dyDescent="0.55000000000000004">
      <c r="B139" s="42"/>
    </row>
    <row r="140" spans="2:2" x14ac:dyDescent="0.55000000000000004">
      <c r="B140" s="42"/>
    </row>
  </sheetData>
  <phoneticPr fontId="1"/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6145" r:id="rId4" name="GoToRegistDataBtn">
          <controlPr defaultSize="0" autoLine="0" r:id="rId5">
            <anchor>
              <from>
                <xdr:col>11</xdr:col>
                <xdr:colOff>82550</xdr:colOff>
                <xdr:row>0</xdr:row>
                <xdr:rowOff>69850</xdr:rowOff>
              </from>
              <to>
                <xdr:col>12</xdr:col>
                <xdr:colOff>781050</xdr:colOff>
                <xdr:row>1</xdr:row>
                <xdr:rowOff>12700</xdr:rowOff>
              </to>
            </anchor>
          </controlPr>
        </control>
      </mc:Choice>
      <mc:Fallback>
        <control shapeId="6145" r:id="rId4" name="GoToRegistDataBtn"/>
      </mc:Fallback>
    </mc:AlternateContent>
    <mc:AlternateContent xmlns:mc="http://schemas.openxmlformats.org/markup-compatibility/2006">
      <mc:Choice Requires="x14">
        <control shapeId="6146" r:id="rId6" name="ImportDataBtn">
          <controlPr defaultSize="0" autoLine="0" r:id="rId7">
            <anchor>
              <from>
                <xdr:col>11</xdr:col>
                <xdr:colOff>82550</xdr:colOff>
                <xdr:row>2</xdr:row>
                <xdr:rowOff>0</xdr:rowOff>
              </from>
              <to>
                <xdr:col>13</xdr:col>
                <xdr:colOff>241300</xdr:colOff>
                <xdr:row>3</xdr:row>
                <xdr:rowOff>114300</xdr:rowOff>
              </to>
            </anchor>
          </controlPr>
        </control>
      </mc:Choice>
      <mc:Fallback>
        <control shapeId="6146" r:id="rId6" name="ImportDataBtn"/>
      </mc:Fallback>
    </mc:AlternateContent>
    <mc:AlternateContent xmlns:mc="http://schemas.openxmlformats.org/markup-compatibility/2006">
      <mc:Choice Requires="x14">
        <control shapeId="6147" r:id="rId8" name="ExportDataBtn">
          <controlPr defaultSize="0" autoLine="0" r:id="rId9">
            <anchor>
              <from>
                <xdr:col>11</xdr:col>
                <xdr:colOff>82550</xdr:colOff>
                <xdr:row>4</xdr:row>
                <xdr:rowOff>0</xdr:rowOff>
              </from>
              <to>
                <xdr:col>13</xdr:col>
                <xdr:colOff>241300</xdr:colOff>
                <xdr:row>5</xdr:row>
                <xdr:rowOff>120650</xdr:rowOff>
              </to>
            </anchor>
          </controlPr>
        </control>
      </mc:Choice>
      <mc:Fallback>
        <control shapeId="6147" r:id="rId8" name="ExportDataBtn"/>
      </mc:Fallback>
    </mc:AlternateContent>
    <mc:AlternateContent xmlns:mc="http://schemas.openxmlformats.org/markup-compatibility/2006">
      <mc:Choice Requires="x14">
        <control shapeId="6148" r:id="rId10" name="DeleteDataBtn">
          <controlPr defaultSize="0" autoLine="0" r:id="rId11">
            <anchor>
              <from>
                <xdr:col>11</xdr:col>
                <xdr:colOff>82550</xdr:colOff>
                <xdr:row>6</xdr:row>
                <xdr:rowOff>38100</xdr:rowOff>
              </from>
              <to>
                <xdr:col>13</xdr:col>
                <xdr:colOff>241300</xdr:colOff>
                <xdr:row>7</xdr:row>
                <xdr:rowOff>165100</xdr:rowOff>
              </to>
            </anchor>
          </controlPr>
        </control>
      </mc:Choice>
      <mc:Fallback>
        <control shapeId="6148" r:id="rId10" name="DeleteDataBtn"/>
      </mc:Fallback>
    </mc:AlternateContent>
    <mc:AlternateContent xmlns:mc="http://schemas.openxmlformats.org/markup-compatibility/2006">
      <mc:Choice Requires="x14">
        <control shapeId="6149" r:id="rId12" name="GoToGraphBtn">
          <controlPr defaultSize="0" autoLine="0" r:id="rId13">
            <anchor>
              <from>
                <xdr:col>12</xdr:col>
                <xdr:colOff>781050</xdr:colOff>
                <xdr:row>0</xdr:row>
                <xdr:rowOff>69850</xdr:rowOff>
              </from>
              <to>
                <xdr:col>14</xdr:col>
                <xdr:colOff>654050</xdr:colOff>
                <xdr:row>1</xdr:row>
                <xdr:rowOff>12700</xdr:rowOff>
              </to>
            </anchor>
          </controlPr>
        </control>
      </mc:Choice>
      <mc:Fallback>
        <control shapeId="6149" r:id="rId12" name="GoToGraphBtn"/>
      </mc:Fallback>
    </mc:AlternateContent>
  </controls>
  <tableParts count="1"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A5409-ED59-4EE7-8A57-8A2296F36E9C}">
  <sheetPr codeName="Sheet8"/>
  <dimension ref="A1:C81"/>
  <sheetViews>
    <sheetView showGridLines="0" workbookViewId="0">
      <selection sqref="A1:C1"/>
    </sheetView>
  </sheetViews>
  <sheetFormatPr defaultRowHeight="18" x14ac:dyDescent="0.55000000000000004"/>
  <cols>
    <col min="1" max="1" width="30.83203125" style="48" customWidth="1"/>
    <col min="2" max="2" width="12.75" style="5" hidden="1" customWidth="1"/>
    <col min="3" max="3" width="14.75" style="5" customWidth="1"/>
    <col min="4" max="4" width="24.5" customWidth="1"/>
  </cols>
  <sheetData>
    <row r="1" spans="1:3" ht="25" customHeight="1" x14ac:dyDescent="0.55000000000000004">
      <c r="A1" s="63" t="s">
        <v>391</v>
      </c>
      <c r="B1" s="63"/>
      <c r="C1" s="63"/>
    </row>
    <row r="2" spans="1:3" ht="6.5" customHeight="1" x14ac:dyDescent="0.55000000000000004"/>
    <row r="3" spans="1:3" ht="25" customHeight="1" x14ac:dyDescent="0.55000000000000004">
      <c r="A3" s="49" t="s">
        <v>384</v>
      </c>
      <c r="B3" s="50" t="str">
        <f>VLOOKUP(C3,Storage!C:D,2,FALSE)</f>
        <v>jp</v>
      </c>
      <c r="C3" s="35" t="s">
        <v>389</v>
      </c>
    </row>
    <row r="4" spans="1:3" ht="25" customHeight="1" x14ac:dyDescent="0.55000000000000004">
      <c r="A4" s="51" t="s">
        <v>428</v>
      </c>
      <c r="B4" s="52">
        <f>C4</f>
        <v>1</v>
      </c>
      <c r="C4" s="35">
        <v>1</v>
      </c>
    </row>
    <row r="5" spans="1:3" ht="25" customHeight="1" x14ac:dyDescent="0.55000000000000004">
      <c r="A5" s="53"/>
      <c r="B5" s="1"/>
    </row>
    <row r="6" spans="1:3" ht="25" customHeight="1" x14ac:dyDescent="0.55000000000000004">
      <c r="A6" s="53"/>
      <c r="B6" s="1"/>
    </row>
    <row r="7" spans="1:3" ht="25" customHeight="1" x14ac:dyDescent="0.55000000000000004">
      <c r="A7" s="53"/>
      <c r="B7" s="1"/>
    </row>
    <row r="8" spans="1:3" ht="25" customHeight="1" x14ac:dyDescent="0.55000000000000004">
      <c r="A8" s="53"/>
      <c r="B8" s="1"/>
    </row>
    <row r="9" spans="1:3" ht="25" customHeight="1" x14ac:dyDescent="0.55000000000000004">
      <c r="A9" s="53"/>
      <c r="B9" s="1"/>
    </row>
    <row r="10" spans="1:3" ht="25" customHeight="1" x14ac:dyDescent="0.55000000000000004">
      <c r="A10" s="53"/>
      <c r="B10" s="1"/>
    </row>
    <row r="11" spans="1:3" ht="25" customHeight="1" x14ac:dyDescent="0.55000000000000004">
      <c r="A11" s="53"/>
      <c r="B11" s="1"/>
    </row>
    <row r="12" spans="1:3" ht="25" customHeight="1" x14ac:dyDescent="0.55000000000000004">
      <c r="A12" s="53"/>
      <c r="B12" s="1"/>
    </row>
    <row r="13" spans="1:3" ht="25" customHeight="1" x14ac:dyDescent="0.55000000000000004">
      <c r="A13" s="53"/>
      <c r="B13" s="1"/>
    </row>
    <row r="14" spans="1:3" ht="25" customHeight="1" x14ac:dyDescent="0.55000000000000004">
      <c r="A14" s="53"/>
      <c r="B14" s="1"/>
    </row>
    <row r="15" spans="1:3" ht="25" customHeight="1" x14ac:dyDescent="0.55000000000000004">
      <c r="A15" s="53"/>
      <c r="B15" s="1"/>
    </row>
    <row r="16" spans="1:3" x14ac:dyDescent="0.55000000000000004">
      <c r="A16" s="53"/>
      <c r="B16" s="1"/>
    </row>
    <row r="17" spans="1:2" x14ac:dyDescent="0.55000000000000004">
      <c r="A17" s="53"/>
      <c r="B17" s="1"/>
    </row>
    <row r="18" spans="1:2" x14ac:dyDescent="0.55000000000000004">
      <c r="A18" s="53"/>
      <c r="B18" s="1"/>
    </row>
    <row r="19" spans="1:2" x14ac:dyDescent="0.55000000000000004">
      <c r="A19" s="53"/>
      <c r="B19" s="1"/>
    </row>
    <row r="20" spans="1:2" x14ac:dyDescent="0.55000000000000004">
      <c r="A20" s="53"/>
      <c r="B20" s="1"/>
    </row>
    <row r="21" spans="1:2" x14ac:dyDescent="0.55000000000000004">
      <c r="A21" s="53"/>
      <c r="B21" s="1"/>
    </row>
    <row r="22" spans="1:2" x14ac:dyDescent="0.55000000000000004">
      <c r="A22" s="53"/>
      <c r="B22" s="1"/>
    </row>
    <row r="23" spans="1:2" x14ac:dyDescent="0.55000000000000004">
      <c r="A23" s="53"/>
      <c r="B23" s="1"/>
    </row>
    <row r="24" spans="1:2" x14ac:dyDescent="0.55000000000000004">
      <c r="A24" s="53"/>
      <c r="B24" s="1"/>
    </row>
    <row r="25" spans="1:2" x14ac:dyDescent="0.55000000000000004">
      <c r="A25" s="53"/>
      <c r="B25" s="1"/>
    </row>
    <row r="26" spans="1:2" x14ac:dyDescent="0.55000000000000004">
      <c r="A26" s="53"/>
      <c r="B26" s="1"/>
    </row>
    <row r="27" spans="1:2" x14ac:dyDescent="0.55000000000000004">
      <c r="A27" s="53"/>
      <c r="B27" s="1"/>
    </row>
    <row r="28" spans="1:2" x14ac:dyDescent="0.55000000000000004">
      <c r="A28" s="53"/>
      <c r="B28" s="1"/>
    </row>
    <row r="29" spans="1:2" x14ac:dyDescent="0.55000000000000004">
      <c r="A29" s="53"/>
      <c r="B29" s="1"/>
    </row>
    <row r="30" spans="1:2" x14ac:dyDescent="0.55000000000000004">
      <c r="A30" s="53"/>
      <c r="B30" s="1"/>
    </row>
    <row r="31" spans="1:2" x14ac:dyDescent="0.55000000000000004">
      <c r="A31" s="53"/>
      <c r="B31" s="1"/>
    </row>
    <row r="32" spans="1:2" x14ac:dyDescent="0.55000000000000004">
      <c r="A32" s="53"/>
      <c r="B32" s="1"/>
    </row>
    <row r="33" spans="1:2" x14ac:dyDescent="0.55000000000000004">
      <c r="A33" s="53"/>
      <c r="B33" s="1"/>
    </row>
    <row r="34" spans="1:2" x14ac:dyDescent="0.55000000000000004">
      <c r="A34" s="53"/>
      <c r="B34" s="1"/>
    </row>
    <row r="35" spans="1:2" x14ac:dyDescent="0.55000000000000004">
      <c r="A35" s="53"/>
      <c r="B35" s="1"/>
    </row>
    <row r="36" spans="1:2" x14ac:dyDescent="0.55000000000000004">
      <c r="A36" s="53"/>
      <c r="B36" s="1"/>
    </row>
    <row r="37" spans="1:2" x14ac:dyDescent="0.55000000000000004">
      <c r="A37" s="53"/>
      <c r="B37" s="1"/>
    </row>
    <row r="38" spans="1:2" x14ac:dyDescent="0.55000000000000004">
      <c r="A38" s="53"/>
      <c r="B38" s="1"/>
    </row>
    <row r="39" spans="1:2" x14ac:dyDescent="0.55000000000000004">
      <c r="A39" s="53"/>
      <c r="B39" s="1"/>
    </row>
    <row r="40" spans="1:2" x14ac:dyDescent="0.55000000000000004">
      <c r="A40" s="53"/>
      <c r="B40" s="1"/>
    </row>
    <row r="41" spans="1:2" x14ac:dyDescent="0.55000000000000004">
      <c r="A41" s="53"/>
      <c r="B41" s="1"/>
    </row>
    <row r="42" spans="1:2" x14ac:dyDescent="0.55000000000000004">
      <c r="A42" s="53"/>
      <c r="B42" s="1"/>
    </row>
    <row r="43" spans="1:2" x14ac:dyDescent="0.55000000000000004">
      <c r="A43" s="53"/>
      <c r="B43" s="1"/>
    </row>
    <row r="44" spans="1:2" x14ac:dyDescent="0.55000000000000004">
      <c r="A44" s="53"/>
      <c r="B44" s="1"/>
    </row>
    <row r="45" spans="1:2" x14ac:dyDescent="0.55000000000000004">
      <c r="A45" s="53"/>
      <c r="B45" s="1"/>
    </row>
    <row r="46" spans="1:2" x14ac:dyDescent="0.55000000000000004">
      <c r="A46" s="53"/>
      <c r="B46" s="1"/>
    </row>
    <row r="47" spans="1:2" x14ac:dyDescent="0.55000000000000004">
      <c r="A47" s="53"/>
      <c r="B47" s="1"/>
    </row>
    <row r="48" spans="1:2" x14ac:dyDescent="0.55000000000000004">
      <c r="A48" s="53"/>
      <c r="B48" s="1"/>
    </row>
    <row r="49" spans="1:2" x14ac:dyDescent="0.55000000000000004">
      <c r="A49" s="53"/>
      <c r="B49" s="1"/>
    </row>
    <row r="50" spans="1:2" x14ac:dyDescent="0.55000000000000004">
      <c r="A50" s="53"/>
      <c r="B50" s="1"/>
    </row>
    <row r="51" spans="1:2" x14ac:dyDescent="0.55000000000000004">
      <c r="A51" s="53"/>
      <c r="B51" s="1"/>
    </row>
    <row r="52" spans="1:2" x14ac:dyDescent="0.55000000000000004">
      <c r="A52" s="53"/>
      <c r="B52" s="1"/>
    </row>
    <row r="53" spans="1:2" x14ac:dyDescent="0.55000000000000004">
      <c r="A53" s="53"/>
      <c r="B53" s="1"/>
    </row>
    <row r="54" spans="1:2" x14ac:dyDescent="0.55000000000000004">
      <c r="A54" s="53"/>
      <c r="B54" s="1"/>
    </row>
    <row r="55" spans="1:2" x14ac:dyDescent="0.55000000000000004">
      <c r="A55" s="53"/>
      <c r="B55" s="1"/>
    </row>
    <row r="56" spans="1:2" x14ac:dyDescent="0.55000000000000004">
      <c r="A56" s="53"/>
      <c r="B56" s="1"/>
    </row>
    <row r="57" spans="1:2" x14ac:dyDescent="0.55000000000000004">
      <c r="A57" s="53"/>
      <c r="B57" s="1"/>
    </row>
    <row r="58" spans="1:2" x14ac:dyDescent="0.55000000000000004">
      <c r="A58" s="53"/>
      <c r="B58" s="1"/>
    </row>
    <row r="59" spans="1:2" x14ac:dyDescent="0.55000000000000004">
      <c r="A59" s="53"/>
      <c r="B59" s="1"/>
    </row>
    <row r="60" spans="1:2" x14ac:dyDescent="0.55000000000000004">
      <c r="A60" s="53"/>
      <c r="B60" s="1"/>
    </row>
    <row r="61" spans="1:2" x14ac:dyDescent="0.55000000000000004">
      <c r="A61" s="53"/>
      <c r="B61" s="1"/>
    </row>
    <row r="62" spans="1:2" x14ac:dyDescent="0.55000000000000004">
      <c r="A62" s="53"/>
      <c r="B62" s="1"/>
    </row>
    <row r="63" spans="1:2" x14ac:dyDescent="0.55000000000000004">
      <c r="A63" s="53"/>
      <c r="B63" s="1"/>
    </row>
    <row r="64" spans="1:2" x14ac:dyDescent="0.55000000000000004">
      <c r="A64" s="53"/>
      <c r="B64" s="1"/>
    </row>
    <row r="65" spans="1:3" x14ac:dyDescent="0.55000000000000004">
      <c r="A65" s="53"/>
      <c r="B65" s="1"/>
    </row>
    <row r="66" spans="1:3" x14ac:dyDescent="0.55000000000000004">
      <c r="A66" s="54"/>
      <c r="B66" s="3"/>
      <c r="C66" s="55"/>
    </row>
    <row r="67" spans="1:3" x14ac:dyDescent="0.55000000000000004">
      <c r="A67" s="56"/>
      <c r="B67" s="2"/>
      <c r="C67" s="57"/>
    </row>
    <row r="68" spans="1:3" x14ac:dyDescent="0.55000000000000004">
      <c r="A68" s="56"/>
      <c r="B68" s="2"/>
      <c r="C68" s="57"/>
    </row>
    <row r="69" spans="1:3" x14ac:dyDescent="0.55000000000000004">
      <c r="A69" s="56"/>
      <c r="B69" s="2"/>
      <c r="C69" s="57"/>
    </row>
    <row r="70" spans="1:3" x14ac:dyDescent="0.55000000000000004">
      <c r="A70" s="56"/>
      <c r="B70" s="2"/>
      <c r="C70" s="57"/>
    </row>
    <row r="71" spans="1:3" x14ac:dyDescent="0.55000000000000004">
      <c r="A71" s="56"/>
      <c r="B71" s="2"/>
      <c r="C71" s="57"/>
    </row>
    <row r="72" spans="1:3" x14ac:dyDescent="0.55000000000000004">
      <c r="A72" s="56"/>
      <c r="B72" s="2"/>
      <c r="C72" s="57"/>
    </row>
    <row r="73" spans="1:3" x14ac:dyDescent="0.55000000000000004">
      <c r="A73" s="56"/>
      <c r="B73" s="2"/>
      <c r="C73" s="57"/>
    </row>
    <row r="74" spans="1:3" x14ac:dyDescent="0.55000000000000004">
      <c r="A74" s="53"/>
      <c r="B74" s="1"/>
    </row>
    <row r="75" spans="1:3" x14ac:dyDescent="0.55000000000000004">
      <c r="A75" s="53"/>
      <c r="B75" s="1"/>
    </row>
    <row r="76" spans="1:3" x14ac:dyDescent="0.55000000000000004">
      <c r="A76" s="53"/>
      <c r="B76" s="1"/>
    </row>
    <row r="77" spans="1:3" x14ac:dyDescent="0.55000000000000004">
      <c r="A77" s="53"/>
      <c r="B77" s="1"/>
    </row>
    <row r="78" spans="1:3" x14ac:dyDescent="0.55000000000000004">
      <c r="A78" s="53"/>
      <c r="B78" s="1"/>
    </row>
    <row r="79" spans="1:3" x14ac:dyDescent="0.55000000000000004">
      <c r="A79" s="53"/>
      <c r="B79" s="1"/>
    </row>
    <row r="80" spans="1:3" x14ac:dyDescent="0.55000000000000004">
      <c r="A80" s="53"/>
      <c r="B80" s="1"/>
    </row>
    <row r="81" spans="1:2" x14ac:dyDescent="0.55000000000000004">
      <c r="A81" s="53"/>
      <c r="B81" s="1"/>
    </row>
  </sheetData>
  <sheetProtection algorithmName="SHA-512" hashValue="X04gGVwwCgVh07BorYYezokcVdEb4lYJwjBewc/mARnqXu9IYNBu8O+UFvEUwkk3TZIYvJx7uDVE19bXQWcAEA==" saltValue="3dJmXAishmdGdR4MDpk6Iw==" spinCount="100000" sheet="1" selectLockedCells="1"/>
  <mergeCells count="1">
    <mergeCell ref="A1:C1"/>
  </mergeCells>
  <phoneticPr fontId="1"/>
  <dataValidations count="1">
    <dataValidation type="whole" operator="greaterThanOrEqual" allowBlank="1" showInputMessage="1" showErrorMessage="1" errorTitle="規定レース数 / Min. number of races" error="1以上の整数を入力してください_x000a_Please enter an integer greater than or equal to 1" promptTitle="規定レース数 / Min. number of races" prompt="グラフを得点や順位の平均値でソートした際に、何レース以上走ったコースを表示するか_x000a_（* 再起動不要）_x000a_Courses that have been run more times than this value are displayed in the pivot table　sorted by average of points or rank._x000a_(* You don't need restart this.)" sqref="C4" xr:uid="{7EB37FD6-913C-4E5D-923B-1A0D9D4328CA}">
      <formula1>1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1" r:id="rId3" name="GoToGraphBtn">
          <controlPr defaultSize="0" autoLine="0" r:id="rId4">
            <anchor>
              <from>
                <xdr:col>3</xdr:col>
                <xdr:colOff>171450</xdr:colOff>
                <xdr:row>0</xdr:row>
                <xdr:rowOff>31750</xdr:rowOff>
              </from>
              <to>
                <xdr:col>3</xdr:col>
                <xdr:colOff>1695450</xdr:colOff>
                <xdr:row>1</xdr:row>
                <xdr:rowOff>69850</xdr:rowOff>
              </to>
            </anchor>
          </controlPr>
        </control>
      </mc:Choice>
      <mc:Fallback>
        <control shapeId="2051" r:id="rId3" name="GoToGraphBtn"/>
      </mc:Fallback>
    </mc:AlternateContent>
    <mc:AlternateContent xmlns:mc="http://schemas.openxmlformats.org/markup-compatibility/2006">
      <mc:Choice Requires="x14">
        <control shapeId="2049" r:id="rId5" name="RestartButton">
          <controlPr defaultSize="0" autoLine="0" r:id="rId6">
            <anchor>
              <from>
                <xdr:col>3</xdr:col>
                <xdr:colOff>171450</xdr:colOff>
                <xdr:row>1</xdr:row>
                <xdr:rowOff>76200</xdr:rowOff>
              </from>
              <to>
                <xdr:col>3</xdr:col>
                <xdr:colOff>1441450</xdr:colOff>
                <xdr:row>3</xdr:row>
                <xdr:rowOff>31750</xdr:rowOff>
              </to>
            </anchor>
          </controlPr>
        </control>
      </mc:Choice>
      <mc:Fallback>
        <control shapeId="2049" r:id="rId5" name="RestartButt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="入力項目の言語設定（開発途中）_x000a__x000a_Language setting of inputs (developing)" xr:uid="{5BBCB509-1BC9-4ED5-AD9B-2531C1CE9B34}">
          <x14:formula1>
            <xm:f>Storage!$C$1:$C$2</xm:f>
          </x14:formula1>
          <xm:sqref>C3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324E7-5217-4E08-AF86-A927886EFFF0}">
  <sheetPr codeName="Sheet7"/>
  <dimension ref="A1:I97"/>
  <sheetViews>
    <sheetView workbookViewId="0"/>
  </sheetViews>
  <sheetFormatPr defaultRowHeight="18" x14ac:dyDescent="0.55000000000000004"/>
  <cols>
    <col min="1" max="2" width="30.08203125" style="5" customWidth="1"/>
    <col min="3" max="3" width="16.83203125" customWidth="1"/>
    <col min="4" max="4" width="15.6640625" customWidth="1"/>
    <col min="5" max="5" width="12.6640625" customWidth="1"/>
    <col min="6" max="6" width="12.58203125" customWidth="1"/>
  </cols>
  <sheetData>
    <row r="1" spans="1:9" x14ac:dyDescent="0.55000000000000004">
      <c r="A1" s="5" t="s">
        <v>415</v>
      </c>
      <c r="C1" s="1" t="s">
        <v>389</v>
      </c>
      <c r="D1" s="1" t="s">
        <v>387</v>
      </c>
      <c r="E1" t="s">
        <v>414</v>
      </c>
      <c r="F1" t="s">
        <v>414</v>
      </c>
      <c r="G1">
        <v>0</v>
      </c>
      <c r="H1">
        <v>0</v>
      </c>
      <c r="I1">
        <v>0</v>
      </c>
    </row>
    <row r="2" spans="1:9" x14ac:dyDescent="0.55000000000000004">
      <c r="A2" s="1" t="s">
        <v>0</v>
      </c>
      <c r="B2" s="1" t="s">
        <v>24</v>
      </c>
      <c r="C2" s="1" t="s">
        <v>390</v>
      </c>
      <c r="D2" s="1" t="s">
        <v>388</v>
      </c>
      <c r="E2" s="1" t="s">
        <v>367</v>
      </c>
      <c r="F2" s="1" t="s">
        <v>400</v>
      </c>
    </row>
    <row r="3" spans="1:9" x14ac:dyDescent="0.55000000000000004">
      <c r="A3" s="1" t="s">
        <v>1</v>
      </c>
      <c r="B3" s="1" t="s">
        <v>25</v>
      </c>
      <c r="C3" s="1"/>
      <c r="E3" s="1" t="s">
        <v>368</v>
      </c>
      <c r="F3" s="1" t="s">
        <v>401</v>
      </c>
    </row>
    <row r="4" spans="1:9" x14ac:dyDescent="0.55000000000000004">
      <c r="A4" s="1" t="s">
        <v>2</v>
      </c>
      <c r="B4" s="1" t="s">
        <v>26</v>
      </c>
      <c r="E4" s="1" t="s">
        <v>369</v>
      </c>
      <c r="F4" s="1" t="s">
        <v>402</v>
      </c>
    </row>
    <row r="5" spans="1:9" x14ac:dyDescent="0.55000000000000004">
      <c r="A5" s="1" t="s">
        <v>3</v>
      </c>
      <c r="B5" s="1" t="s">
        <v>27</v>
      </c>
      <c r="E5" s="1" t="s">
        <v>370</v>
      </c>
      <c r="F5" s="1" t="s">
        <v>403</v>
      </c>
    </row>
    <row r="6" spans="1:9" x14ac:dyDescent="0.55000000000000004">
      <c r="A6" s="1" t="s">
        <v>4</v>
      </c>
      <c r="B6" s="1" t="s">
        <v>28</v>
      </c>
      <c r="E6" s="1" t="s">
        <v>371</v>
      </c>
      <c r="F6" s="1" t="s">
        <v>404</v>
      </c>
    </row>
    <row r="7" spans="1:9" x14ac:dyDescent="0.55000000000000004">
      <c r="A7" s="1" t="s">
        <v>5</v>
      </c>
      <c r="B7" s="1" t="s">
        <v>29</v>
      </c>
      <c r="E7" s="1" t="s">
        <v>372</v>
      </c>
    </row>
    <row r="8" spans="1:9" x14ac:dyDescent="0.55000000000000004">
      <c r="A8" s="1" t="s">
        <v>6</v>
      </c>
      <c r="B8" s="1" t="s">
        <v>30</v>
      </c>
      <c r="E8" s="1" t="s">
        <v>373</v>
      </c>
    </row>
    <row r="9" spans="1:9" x14ac:dyDescent="0.55000000000000004">
      <c r="A9" s="1" t="s">
        <v>7</v>
      </c>
      <c r="B9" s="1" t="s">
        <v>31</v>
      </c>
      <c r="E9" s="1" t="s">
        <v>374</v>
      </c>
    </row>
    <row r="10" spans="1:9" x14ac:dyDescent="0.55000000000000004">
      <c r="A10" s="1" t="s">
        <v>173</v>
      </c>
      <c r="B10" s="1" t="s">
        <v>32</v>
      </c>
      <c r="E10" s="1" t="s">
        <v>375</v>
      </c>
    </row>
    <row r="11" spans="1:9" x14ac:dyDescent="0.55000000000000004">
      <c r="A11" s="1" t="s">
        <v>8</v>
      </c>
      <c r="B11" s="1" t="s">
        <v>33</v>
      </c>
      <c r="E11" s="1" t="s">
        <v>376</v>
      </c>
    </row>
    <row r="12" spans="1:9" x14ac:dyDescent="0.55000000000000004">
      <c r="A12" s="1" t="s">
        <v>9</v>
      </c>
      <c r="B12" s="1" t="s">
        <v>34</v>
      </c>
      <c r="E12" s="1" t="s">
        <v>377</v>
      </c>
    </row>
    <row r="13" spans="1:9" x14ac:dyDescent="0.55000000000000004">
      <c r="A13" s="1" t="s">
        <v>10</v>
      </c>
      <c r="B13" s="1" t="s">
        <v>35</v>
      </c>
      <c r="E13" s="1" t="s">
        <v>378</v>
      </c>
    </row>
    <row r="14" spans="1:9" x14ac:dyDescent="0.55000000000000004">
      <c r="A14" s="1" t="s">
        <v>11</v>
      </c>
      <c r="B14" s="1" t="s">
        <v>36</v>
      </c>
      <c r="E14" s="1" t="s">
        <v>379</v>
      </c>
    </row>
    <row r="15" spans="1:9" x14ac:dyDescent="0.55000000000000004">
      <c r="A15" s="1" t="s">
        <v>12</v>
      </c>
      <c r="B15" s="1" t="s">
        <v>37</v>
      </c>
      <c r="E15" s="1" t="s">
        <v>380</v>
      </c>
    </row>
    <row r="16" spans="1:9" x14ac:dyDescent="0.55000000000000004">
      <c r="A16" s="1" t="s">
        <v>13</v>
      </c>
      <c r="B16" s="1" t="s">
        <v>38</v>
      </c>
      <c r="E16" s="1" t="s">
        <v>381</v>
      </c>
    </row>
    <row r="17" spans="1:5" x14ac:dyDescent="0.55000000000000004">
      <c r="A17" s="1" t="s">
        <v>14</v>
      </c>
      <c r="B17" s="1" t="s">
        <v>39</v>
      </c>
      <c r="E17" s="1" t="s">
        <v>397</v>
      </c>
    </row>
    <row r="18" spans="1:5" x14ac:dyDescent="0.55000000000000004">
      <c r="A18" s="1" t="s">
        <v>174</v>
      </c>
      <c r="B18" s="1" t="s">
        <v>40</v>
      </c>
      <c r="E18" s="1"/>
    </row>
    <row r="19" spans="1:5" x14ac:dyDescent="0.55000000000000004">
      <c r="A19" s="1" t="s">
        <v>175</v>
      </c>
      <c r="B19" s="1" t="s">
        <v>41</v>
      </c>
    </row>
    <row r="20" spans="1:5" x14ac:dyDescent="0.55000000000000004">
      <c r="A20" s="1" t="s">
        <v>176</v>
      </c>
      <c r="B20" s="1" t="s">
        <v>42</v>
      </c>
    </row>
    <row r="21" spans="1:5" x14ac:dyDescent="0.55000000000000004">
      <c r="A21" s="1" t="s">
        <v>177</v>
      </c>
      <c r="B21" s="1" t="s">
        <v>43</v>
      </c>
    </row>
    <row r="22" spans="1:5" x14ac:dyDescent="0.55000000000000004">
      <c r="A22" s="1" t="s">
        <v>178</v>
      </c>
      <c r="B22" s="1" t="s">
        <v>44</v>
      </c>
    </row>
    <row r="23" spans="1:5" x14ac:dyDescent="0.55000000000000004">
      <c r="A23" s="1" t="s">
        <v>179</v>
      </c>
      <c r="B23" s="1" t="s">
        <v>45</v>
      </c>
    </row>
    <row r="24" spans="1:5" x14ac:dyDescent="0.55000000000000004">
      <c r="A24" s="1" t="s">
        <v>180</v>
      </c>
      <c r="B24" s="1" t="s">
        <v>46</v>
      </c>
    </row>
    <row r="25" spans="1:5" x14ac:dyDescent="0.55000000000000004">
      <c r="A25" s="1" t="s">
        <v>181</v>
      </c>
      <c r="B25" s="1" t="s">
        <v>47</v>
      </c>
    </row>
    <row r="26" spans="1:5" x14ac:dyDescent="0.55000000000000004">
      <c r="A26" s="1" t="s">
        <v>182</v>
      </c>
      <c r="B26" s="1" t="s">
        <v>48</v>
      </c>
    </row>
    <row r="27" spans="1:5" x14ac:dyDescent="0.55000000000000004">
      <c r="A27" s="1" t="s">
        <v>183</v>
      </c>
      <c r="B27" s="1" t="s">
        <v>49</v>
      </c>
    </row>
    <row r="28" spans="1:5" x14ac:dyDescent="0.55000000000000004">
      <c r="A28" s="1" t="s">
        <v>184</v>
      </c>
      <c r="B28" s="1" t="s">
        <v>50</v>
      </c>
    </row>
    <row r="29" spans="1:5" x14ac:dyDescent="0.55000000000000004">
      <c r="A29" s="1" t="s">
        <v>185</v>
      </c>
      <c r="B29" s="1" t="s">
        <v>51</v>
      </c>
    </row>
    <row r="30" spans="1:5" x14ac:dyDescent="0.55000000000000004">
      <c r="A30" s="1" t="s">
        <v>186</v>
      </c>
      <c r="B30" s="1" t="s">
        <v>52</v>
      </c>
    </row>
    <row r="31" spans="1:5" x14ac:dyDescent="0.55000000000000004">
      <c r="A31" s="1" t="s">
        <v>187</v>
      </c>
      <c r="B31" s="1" t="s">
        <v>53</v>
      </c>
    </row>
    <row r="32" spans="1:5" x14ac:dyDescent="0.55000000000000004">
      <c r="A32" s="1" t="s">
        <v>188</v>
      </c>
      <c r="B32" s="1" t="s">
        <v>54</v>
      </c>
    </row>
    <row r="33" spans="1:2" x14ac:dyDescent="0.55000000000000004">
      <c r="A33" s="1" t="s">
        <v>189</v>
      </c>
      <c r="B33" s="1" t="s">
        <v>55</v>
      </c>
    </row>
    <row r="34" spans="1:2" x14ac:dyDescent="0.55000000000000004">
      <c r="A34" s="1" t="s">
        <v>190</v>
      </c>
      <c r="B34" s="1" t="s">
        <v>56</v>
      </c>
    </row>
    <row r="35" spans="1:2" x14ac:dyDescent="0.55000000000000004">
      <c r="A35" s="1" t="s">
        <v>15</v>
      </c>
      <c r="B35" s="1" t="s">
        <v>57</v>
      </c>
    </row>
    <row r="36" spans="1:2" x14ac:dyDescent="0.55000000000000004">
      <c r="A36" s="1" t="s">
        <v>16</v>
      </c>
      <c r="B36" s="1" t="s">
        <v>58</v>
      </c>
    </row>
    <row r="37" spans="1:2" x14ac:dyDescent="0.55000000000000004">
      <c r="A37" s="1" t="s">
        <v>17</v>
      </c>
      <c r="B37" s="1" t="s">
        <v>59</v>
      </c>
    </row>
    <row r="38" spans="1:2" x14ac:dyDescent="0.55000000000000004">
      <c r="A38" s="1" t="s">
        <v>191</v>
      </c>
      <c r="B38" s="1" t="s">
        <v>60</v>
      </c>
    </row>
    <row r="39" spans="1:2" x14ac:dyDescent="0.55000000000000004">
      <c r="A39" s="1" t="s">
        <v>192</v>
      </c>
      <c r="B39" s="1" t="s">
        <v>61</v>
      </c>
    </row>
    <row r="40" spans="1:2" x14ac:dyDescent="0.55000000000000004">
      <c r="A40" s="1" t="s">
        <v>20</v>
      </c>
      <c r="B40" s="1" t="s">
        <v>66</v>
      </c>
    </row>
    <row r="41" spans="1:2" x14ac:dyDescent="0.55000000000000004">
      <c r="A41" s="1" t="s">
        <v>21</v>
      </c>
      <c r="B41" s="1" t="s">
        <v>67</v>
      </c>
    </row>
    <row r="42" spans="1:2" x14ac:dyDescent="0.55000000000000004">
      <c r="A42" s="1" t="s">
        <v>193</v>
      </c>
      <c r="B42" s="1" t="s">
        <v>62</v>
      </c>
    </row>
    <row r="43" spans="1:2" x14ac:dyDescent="0.55000000000000004">
      <c r="A43" s="1" t="s">
        <v>194</v>
      </c>
      <c r="B43" s="1" t="s">
        <v>63</v>
      </c>
    </row>
    <row r="44" spans="1:2" x14ac:dyDescent="0.55000000000000004">
      <c r="A44" s="1" t="s">
        <v>18</v>
      </c>
      <c r="B44" s="1" t="s">
        <v>64</v>
      </c>
    </row>
    <row r="45" spans="1:2" x14ac:dyDescent="0.55000000000000004">
      <c r="A45" s="1" t="s">
        <v>19</v>
      </c>
      <c r="B45" s="1" t="s">
        <v>65</v>
      </c>
    </row>
    <row r="46" spans="1:2" x14ac:dyDescent="0.55000000000000004">
      <c r="A46" s="1" t="s">
        <v>195</v>
      </c>
      <c r="B46" s="1" t="s">
        <v>68</v>
      </c>
    </row>
    <row r="47" spans="1:2" x14ac:dyDescent="0.55000000000000004">
      <c r="A47" s="1" t="s">
        <v>196</v>
      </c>
      <c r="B47" s="1" t="s">
        <v>69</v>
      </c>
    </row>
    <row r="48" spans="1:2" x14ac:dyDescent="0.55000000000000004">
      <c r="A48" s="1" t="s">
        <v>22</v>
      </c>
      <c r="B48" s="1" t="s">
        <v>70</v>
      </c>
    </row>
    <row r="49" spans="1:2" x14ac:dyDescent="0.55000000000000004">
      <c r="A49" s="1" t="s">
        <v>23</v>
      </c>
      <c r="B49" s="1" t="s">
        <v>71</v>
      </c>
    </row>
    <row r="50" spans="1:2" x14ac:dyDescent="0.55000000000000004">
      <c r="A50" s="1" t="s">
        <v>392</v>
      </c>
      <c r="B50" s="1" t="s">
        <v>72</v>
      </c>
    </row>
    <row r="51" spans="1:2" x14ac:dyDescent="0.55000000000000004">
      <c r="A51" s="1" t="s">
        <v>197</v>
      </c>
      <c r="B51" s="1" t="s">
        <v>73</v>
      </c>
    </row>
    <row r="52" spans="1:2" x14ac:dyDescent="0.55000000000000004">
      <c r="A52" s="1" t="s">
        <v>198</v>
      </c>
      <c r="B52" s="1" t="s">
        <v>75</v>
      </c>
    </row>
    <row r="53" spans="1:2" x14ac:dyDescent="0.55000000000000004">
      <c r="A53" s="1" t="s">
        <v>199</v>
      </c>
      <c r="B53" s="1" t="s">
        <v>76</v>
      </c>
    </row>
    <row r="54" spans="1:2" x14ac:dyDescent="0.55000000000000004">
      <c r="A54" s="1" t="s">
        <v>200</v>
      </c>
      <c r="B54" s="1" t="s">
        <v>74</v>
      </c>
    </row>
    <row r="55" spans="1:2" x14ac:dyDescent="0.55000000000000004">
      <c r="A55" s="1" t="s">
        <v>201</v>
      </c>
      <c r="B55" s="1" t="s">
        <v>77</v>
      </c>
    </row>
    <row r="56" spans="1:2" x14ac:dyDescent="0.55000000000000004">
      <c r="A56" s="1" t="s">
        <v>202</v>
      </c>
      <c r="B56" s="1" t="s">
        <v>78</v>
      </c>
    </row>
    <row r="57" spans="1:2" x14ac:dyDescent="0.55000000000000004">
      <c r="A57" s="1" t="s">
        <v>203</v>
      </c>
      <c r="B57" s="1" t="s">
        <v>79</v>
      </c>
    </row>
    <row r="58" spans="1:2" x14ac:dyDescent="0.55000000000000004">
      <c r="A58" s="1" t="s">
        <v>204</v>
      </c>
      <c r="B58" s="1" t="s">
        <v>84</v>
      </c>
    </row>
    <row r="59" spans="1:2" x14ac:dyDescent="0.55000000000000004">
      <c r="A59" s="1" t="s">
        <v>205</v>
      </c>
      <c r="B59" s="1" t="s">
        <v>82</v>
      </c>
    </row>
    <row r="60" spans="1:2" x14ac:dyDescent="0.55000000000000004">
      <c r="A60" s="1" t="s">
        <v>206</v>
      </c>
      <c r="B60" s="1" t="s">
        <v>81</v>
      </c>
    </row>
    <row r="61" spans="1:2" x14ac:dyDescent="0.55000000000000004">
      <c r="A61" s="1" t="s">
        <v>207</v>
      </c>
      <c r="B61" s="1" t="s">
        <v>85</v>
      </c>
    </row>
    <row r="62" spans="1:2" x14ac:dyDescent="0.55000000000000004">
      <c r="A62" s="1" t="s">
        <v>208</v>
      </c>
      <c r="B62" s="1" t="s">
        <v>86</v>
      </c>
    </row>
    <row r="63" spans="1:2" x14ac:dyDescent="0.55000000000000004">
      <c r="A63" s="1" t="s">
        <v>209</v>
      </c>
      <c r="B63" s="1" t="s">
        <v>87</v>
      </c>
    </row>
    <row r="64" spans="1:2" x14ac:dyDescent="0.55000000000000004">
      <c r="A64" s="1" t="s">
        <v>210</v>
      </c>
      <c r="B64" s="1" t="s">
        <v>83</v>
      </c>
    </row>
    <row r="65" spans="1:2" x14ac:dyDescent="0.55000000000000004">
      <c r="A65" s="1" t="s">
        <v>80</v>
      </c>
      <c r="B65" s="1" t="s">
        <v>88</v>
      </c>
    </row>
    <row r="66" spans="1:2" x14ac:dyDescent="0.55000000000000004">
      <c r="A66" s="3" t="s">
        <v>211</v>
      </c>
      <c r="B66" s="2" t="s">
        <v>89</v>
      </c>
    </row>
    <row r="67" spans="1:2" x14ac:dyDescent="0.55000000000000004">
      <c r="A67" s="2" t="s">
        <v>212</v>
      </c>
      <c r="B67" s="2" t="s">
        <v>90</v>
      </c>
    </row>
    <row r="68" spans="1:2" x14ac:dyDescent="0.55000000000000004">
      <c r="A68" s="2" t="s">
        <v>213</v>
      </c>
      <c r="B68" s="2" t="s">
        <v>91</v>
      </c>
    </row>
    <row r="69" spans="1:2" x14ac:dyDescent="0.55000000000000004">
      <c r="A69" s="2" t="s">
        <v>214</v>
      </c>
      <c r="B69" s="2" t="s">
        <v>92</v>
      </c>
    </row>
    <row r="70" spans="1:2" x14ac:dyDescent="0.55000000000000004">
      <c r="A70" s="2" t="s">
        <v>215</v>
      </c>
      <c r="B70" s="2" t="s">
        <v>93</v>
      </c>
    </row>
    <row r="71" spans="1:2" x14ac:dyDescent="0.55000000000000004">
      <c r="A71" s="2" t="s">
        <v>216</v>
      </c>
      <c r="B71" s="2" t="s">
        <v>94</v>
      </c>
    </row>
    <row r="72" spans="1:2" x14ac:dyDescent="0.55000000000000004">
      <c r="A72" s="2" t="s">
        <v>217</v>
      </c>
      <c r="B72" s="2" t="s">
        <v>95</v>
      </c>
    </row>
    <row r="73" spans="1:2" x14ac:dyDescent="0.55000000000000004">
      <c r="A73" s="2" t="s">
        <v>218</v>
      </c>
      <c r="B73" s="2" t="s">
        <v>96</v>
      </c>
    </row>
    <row r="74" spans="1:2" x14ac:dyDescent="0.55000000000000004">
      <c r="A74" s="1" t="s">
        <v>219</v>
      </c>
      <c r="B74" s="1" t="s">
        <v>308</v>
      </c>
    </row>
    <row r="75" spans="1:2" x14ac:dyDescent="0.55000000000000004">
      <c r="A75" s="1" t="s">
        <v>220</v>
      </c>
      <c r="B75" s="1" t="s">
        <v>309</v>
      </c>
    </row>
    <row r="76" spans="1:2" x14ac:dyDescent="0.55000000000000004">
      <c r="A76" s="1" t="s">
        <v>221</v>
      </c>
      <c r="B76" s="1" t="s">
        <v>310</v>
      </c>
    </row>
    <row r="77" spans="1:2" x14ac:dyDescent="0.55000000000000004">
      <c r="A77" s="1" t="s">
        <v>222</v>
      </c>
      <c r="B77" s="1" t="s">
        <v>311</v>
      </c>
    </row>
    <row r="78" spans="1:2" x14ac:dyDescent="0.55000000000000004">
      <c r="A78" s="1" t="s">
        <v>223</v>
      </c>
      <c r="B78" s="1" t="s">
        <v>312</v>
      </c>
    </row>
    <row r="79" spans="1:2" x14ac:dyDescent="0.55000000000000004">
      <c r="A79" s="1" t="s">
        <v>305</v>
      </c>
      <c r="B79" s="1" t="s">
        <v>313</v>
      </c>
    </row>
    <row r="80" spans="1:2" x14ac:dyDescent="0.55000000000000004">
      <c r="A80" s="1" t="s">
        <v>224</v>
      </c>
      <c r="B80" s="1" t="s">
        <v>314</v>
      </c>
    </row>
    <row r="81" spans="1:2" x14ac:dyDescent="0.55000000000000004">
      <c r="A81" s="1" t="s">
        <v>225</v>
      </c>
      <c r="B81" s="1" t="s">
        <v>315</v>
      </c>
    </row>
    <row r="82" spans="1:2" x14ac:dyDescent="0.55000000000000004">
      <c r="A82" s="1" t="s">
        <v>431</v>
      </c>
      <c r="B82" s="1" t="s">
        <v>447</v>
      </c>
    </row>
    <row r="83" spans="1:2" x14ac:dyDescent="0.55000000000000004">
      <c r="A83" s="1" t="s">
        <v>432</v>
      </c>
      <c r="B83" s="1" t="s">
        <v>448</v>
      </c>
    </row>
    <row r="84" spans="1:2" x14ac:dyDescent="0.55000000000000004">
      <c r="A84" s="1" t="s">
        <v>433</v>
      </c>
      <c r="B84" s="1" t="s">
        <v>449</v>
      </c>
    </row>
    <row r="85" spans="1:2" x14ac:dyDescent="0.55000000000000004">
      <c r="A85" s="1" t="s">
        <v>434</v>
      </c>
      <c r="B85" s="1" t="s">
        <v>450</v>
      </c>
    </row>
    <row r="86" spans="1:2" x14ac:dyDescent="0.55000000000000004">
      <c r="A86" s="1" t="s">
        <v>435</v>
      </c>
      <c r="B86" s="1" t="s">
        <v>451</v>
      </c>
    </row>
    <row r="87" spans="1:2" x14ac:dyDescent="0.55000000000000004">
      <c r="A87" s="1" t="s">
        <v>436</v>
      </c>
      <c r="B87" s="1" t="s">
        <v>452</v>
      </c>
    </row>
    <row r="88" spans="1:2" x14ac:dyDescent="0.55000000000000004">
      <c r="A88" s="1" t="s">
        <v>437</v>
      </c>
      <c r="B88" s="1" t="s">
        <v>453</v>
      </c>
    </row>
    <row r="89" spans="1:2" x14ac:dyDescent="0.55000000000000004">
      <c r="A89" s="1" t="s">
        <v>438</v>
      </c>
      <c r="B89" s="1" t="s">
        <v>454</v>
      </c>
    </row>
    <row r="90" spans="1:2" x14ac:dyDescent="0.55000000000000004">
      <c r="A90" s="1" t="s">
        <v>470</v>
      </c>
      <c r="B90" s="1" t="s">
        <v>493</v>
      </c>
    </row>
    <row r="91" spans="1:2" x14ac:dyDescent="0.55000000000000004">
      <c r="A91" s="1" t="s">
        <v>471</v>
      </c>
      <c r="B91" s="1" t="s">
        <v>494</v>
      </c>
    </row>
    <row r="92" spans="1:2" x14ac:dyDescent="0.55000000000000004">
      <c r="A92" s="1" t="s">
        <v>472</v>
      </c>
      <c r="B92" s="1" t="s">
        <v>495</v>
      </c>
    </row>
    <row r="93" spans="1:2" x14ac:dyDescent="0.55000000000000004">
      <c r="A93" s="1" t="s">
        <v>473</v>
      </c>
      <c r="B93" s="1" t="s">
        <v>496</v>
      </c>
    </row>
    <row r="94" spans="1:2" x14ac:dyDescent="0.55000000000000004">
      <c r="A94" s="1" t="s">
        <v>477</v>
      </c>
      <c r="B94" s="1" t="s">
        <v>497</v>
      </c>
    </row>
    <row r="95" spans="1:2" x14ac:dyDescent="0.55000000000000004">
      <c r="A95" s="1" t="s">
        <v>476</v>
      </c>
      <c r="B95" s="1" t="s">
        <v>498</v>
      </c>
    </row>
    <row r="96" spans="1:2" x14ac:dyDescent="0.55000000000000004">
      <c r="A96" s="1" t="s">
        <v>475</v>
      </c>
      <c r="B96" s="1" t="s">
        <v>499</v>
      </c>
    </row>
    <row r="97" spans="1:2" x14ac:dyDescent="0.55000000000000004">
      <c r="A97" s="1" t="s">
        <v>474</v>
      </c>
      <c r="B97" s="1" t="s">
        <v>500</v>
      </c>
    </row>
  </sheetData>
  <sheetProtection algorithmName="SHA-512" hashValue="24VEsSJrE2+ytg0tpInDWhIPh7sODYLBGyALWCnM/7xWsYc42QsdVyIGWCM0tLAGF0YROAGcA5cq8RbdrSTDMg==" saltValue="keb91+jB8WOF6M92t5ltZA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90419-8A7F-49D5-A564-06948B612FF4}">
  <sheetPr codeName="Sheet4"/>
  <dimension ref="A1:G97"/>
  <sheetViews>
    <sheetView workbookViewId="0"/>
  </sheetViews>
  <sheetFormatPr defaultRowHeight="18" x14ac:dyDescent="0.55000000000000004"/>
  <cols>
    <col min="1" max="1" width="11.83203125" style="1" customWidth="1"/>
    <col min="2" max="3" width="32.83203125" style="1" customWidth="1"/>
    <col min="4" max="4" width="12.33203125" customWidth="1"/>
    <col min="5" max="5" width="16.9140625" style="1" customWidth="1"/>
    <col min="6" max="6" width="12.6640625" style="1" customWidth="1"/>
    <col min="7" max="7" width="13.33203125" style="60" bestFit="1" customWidth="1"/>
    <col min="8" max="16384" width="8.6640625" style="1"/>
  </cols>
  <sheetData>
    <row r="1" spans="1:7" s="4" customFormat="1" x14ac:dyDescent="0.55000000000000004">
      <c r="A1" s="4" t="s">
        <v>97</v>
      </c>
      <c r="B1" s="4" t="s">
        <v>226</v>
      </c>
      <c r="C1" s="4" t="s">
        <v>227</v>
      </c>
      <c r="D1" s="4" t="s">
        <v>325</v>
      </c>
      <c r="E1" s="4" t="s">
        <v>98</v>
      </c>
      <c r="F1" s="4" t="s">
        <v>316</v>
      </c>
      <c r="G1" s="59" t="s">
        <v>508</v>
      </c>
    </row>
    <row r="2" spans="1:7" x14ac:dyDescent="0.55000000000000004">
      <c r="A2" s="1" t="s">
        <v>24</v>
      </c>
      <c r="B2" s="1" t="s">
        <v>0</v>
      </c>
      <c r="C2" s="1" t="s">
        <v>228</v>
      </c>
      <c r="D2" s="1" t="s">
        <v>335</v>
      </c>
      <c r="E2" s="1" t="s">
        <v>126</v>
      </c>
      <c r="F2" s="1">
        <v>1</v>
      </c>
      <c r="G2" s="60" t="s">
        <v>509</v>
      </c>
    </row>
    <row r="3" spans="1:7" x14ac:dyDescent="0.55000000000000004">
      <c r="A3" s="1" t="s">
        <v>25</v>
      </c>
      <c r="B3" s="1" t="s">
        <v>1</v>
      </c>
      <c r="C3" s="1" t="s">
        <v>229</v>
      </c>
      <c r="D3" s="1" t="s">
        <v>335</v>
      </c>
      <c r="E3" s="1" t="s">
        <v>126</v>
      </c>
      <c r="F3" s="1">
        <v>2</v>
      </c>
      <c r="G3" s="60" t="s">
        <v>510</v>
      </c>
    </row>
    <row r="4" spans="1:7" x14ac:dyDescent="0.55000000000000004">
      <c r="A4" s="1" t="s">
        <v>26</v>
      </c>
      <c r="B4" s="1" t="s">
        <v>2</v>
      </c>
      <c r="C4" s="1" t="s">
        <v>230</v>
      </c>
      <c r="D4" s="1" t="s">
        <v>335</v>
      </c>
      <c r="E4" s="1" t="s">
        <v>126</v>
      </c>
      <c r="F4" s="1">
        <v>3</v>
      </c>
      <c r="G4" s="60" t="s">
        <v>598</v>
      </c>
    </row>
    <row r="5" spans="1:7" x14ac:dyDescent="0.55000000000000004">
      <c r="A5" s="1" t="s">
        <v>27</v>
      </c>
      <c r="B5" s="1" t="s">
        <v>3</v>
      </c>
      <c r="C5" s="1" t="s">
        <v>231</v>
      </c>
      <c r="D5" s="1" t="s">
        <v>335</v>
      </c>
      <c r="E5" s="1" t="s">
        <v>126</v>
      </c>
      <c r="F5" s="1">
        <v>4</v>
      </c>
      <c r="G5" s="60" t="s">
        <v>599</v>
      </c>
    </row>
    <row r="6" spans="1:7" x14ac:dyDescent="0.55000000000000004">
      <c r="A6" s="1" t="s">
        <v>28</v>
      </c>
      <c r="B6" s="1" t="s">
        <v>4</v>
      </c>
      <c r="C6" s="1" t="s">
        <v>232</v>
      </c>
      <c r="D6" s="1" t="s">
        <v>335</v>
      </c>
      <c r="E6" s="1" t="s">
        <v>120</v>
      </c>
      <c r="F6" s="1">
        <v>1</v>
      </c>
      <c r="G6" s="60" t="s">
        <v>600</v>
      </c>
    </row>
    <row r="7" spans="1:7" x14ac:dyDescent="0.55000000000000004">
      <c r="A7" s="1" t="s">
        <v>29</v>
      </c>
      <c r="B7" s="1" t="s">
        <v>5</v>
      </c>
      <c r="C7" s="1" t="s">
        <v>233</v>
      </c>
      <c r="D7" s="1" t="s">
        <v>335</v>
      </c>
      <c r="E7" s="1" t="s">
        <v>120</v>
      </c>
      <c r="F7" s="1">
        <v>2</v>
      </c>
      <c r="G7" s="60" t="s">
        <v>601</v>
      </c>
    </row>
    <row r="8" spans="1:7" x14ac:dyDescent="0.55000000000000004">
      <c r="A8" s="1" t="s">
        <v>30</v>
      </c>
      <c r="B8" s="1" t="s">
        <v>6</v>
      </c>
      <c r="C8" s="1" t="s">
        <v>234</v>
      </c>
      <c r="D8" s="1" t="s">
        <v>335</v>
      </c>
      <c r="E8" s="1" t="s">
        <v>120</v>
      </c>
      <c r="F8" s="1">
        <v>3</v>
      </c>
      <c r="G8" s="60" t="s">
        <v>602</v>
      </c>
    </row>
    <row r="9" spans="1:7" x14ac:dyDescent="0.55000000000000004">
      <c r="A9" s="1" t="s">
        <v>31</v>
      </c>
      <c r="B9" s="1" t="s">
        <v>7</v>
      </c>
      <c r="C9" s="1" t="s">
        <v>235</v>
      </c>
      <c r="D9" s="1" t="s">
        <v>335</v>
      </c>
      <c r="E9" s="1" t="s">
        <v>120</v>
      </c>
      <c r="F9" s="1">
        <v>4</v>
      </c>
      <c r="G9" s="60" t="s">
        <v>603</v>
      </c>
    </row>
    <row r="10" spans="1:7" x14ac:dyDescent="0.55000000000000004">
      <c r="A10" s="1" t="s">
        <v>32</v>
      </c>
      <c r="B10" s="1" t="s">
        <v>173</v>
      </c>
      <c r="C10" s="1" t="s">
        <v>236</v>
      </c>
      <c r="D10" s="1" t="s">
        <v>335</v>
      </c>
      <c r="E10" s="1" t="s">
        <v>121</v>
      </c>
      <c r="F10" s="1">
        <v>1</v>
      </c>
      <c r="G10" s="60" t="s">
        <v>604</v>
      </c>
    </row>
    <row r="11" spans="1:7" x14ac:dyDescent="0.55000000000000004">
      <c r="A11" s="1" t="s">
        <v>33</v>
      </c>
      <c r="B11" s="1" t="s">
        <v>8</v>
      </c>
      <c r="C11" s="1" t="s">
        <v>237</v>
      </c>
      <c r="D11" s="1" t="s">
        <v>335</v>
      </c>
      <c r="E11" s="1" t="s">
        <v>121</v>
      </c>
      <c r="F11" s="1">
        <v>2</v>
      </c>
      <c r="G11" s="60" t="s">
        <v>511</v>
      </c>
    </row>
    <row r="12" spans="1:7" x14ac:dyDescent="0.55000000000000004">
      <c r="A12" s="1" t="s">
        <v>34</v>
      </c>
      <c r="B12" s="1" t="s">
        <v>9</v>
      </c>
      <c r="C12" s="1" t="s">
        <v>238</v>
      </c>
      <c r="D12" s="1" t="s">
        <v>335</v>
      </c>
      <c r="E12" s="1" t="s">
        <v>121</v>
      </c>
      <c r="F12" s="1">
        <v>3</v>
      </c>
      <c r="G12" s="60" t="s">
        <v>512</v>
      </c>
    </row>
    <row r="13" spans="1:7" x14ac:dyDescent="0.55000000000000004">
      <c r="A13" s="1" t="s">
        <v>35</v>
      </c>
      <c r="B13" s="1" t="s">
        <v>10</v>
      </c>
      <c r="C13" s="1" t="s">
        <v>239</v>
      </c>
      <c r="D13" s="1" t="s">
        <v>335</v>
      </c>
      <c r="E13" s="1" t="s">
        <v>121</v>
      </c>
      <c r="F13" s="1">
        <v>4</v>
      </c>
      <c r="G13" s="60" t="s">
        <v>513</v>
      </c>
    </row>
    <row r="14" spans="1:7" x14ac:dyDescent="0.55000000000000004">
      <c r="A14" s="1" t="s">
        <v>36</v>
      </c>
      <c r="B14" s="1" t="s">
        <v>11</v>
      </c>
      <c r="C14" s="1" t="s">
        <v>240</v>
      </c>
      <c r="D14" s="1" t="s">
        <v>335</v>
      </c>
      <c r="E14" s="1" t="s">
        <v>122</v>
      </c>
      <c r="F14" s="1">
        <v>1</v>
      </c>
      <c r="G14" s="60" t="s">
        <v>514</v>
      </c>
    </row>
    <row r="15" spans="1:7" x14ac:dyDescent="0.55000000000000004">
      <c r="A15" s="1" t="s">
        <v>37</v>
      </c>
      <c r="B15" s="1" t="s">
        <v>12</v>
      </c>
      <c r="C15" s="1" t="s">
        <v>241</v>
      </c>
      <c r="D15" s="1" t="s">
        <v>335</v>
      </c>
      <c r="E15" s="1" t="s">
        <v>122</v>
      </c>
      <c r="F15" s="1">
        <v>2</v>
      </c>
      <c r="G15" s="60" t="s">
        <v>515</v>
      </c>
    </row>
    <row r="16" spans="1:7" x14ac:dyDescent="0.55000000000000004">
      <c r="A16" s="1" t="s">
        <v>38</v>
      </c>
      <c r="B16" s="1" t="s">
        <v>13</v>
      </c>
      <c r="C16" s="1" t="s">
        <v>242</v>
      </c>
      <c r="D16" s="1" t="s">
        <v>335</v>
      </c>
      <c r="E16" s="1" t="s">
        <v>122</v>
      </c>
      <c r="F16" s="1">
        <v>3</v>
      </c>
      <c r="G16" s="60" t="s">
        <v>516</v>
      </c>
    </row>
    <row r="17" spans="1:7" x14ac:dyDescent="0.55000000000000004">
      <c r="A17" s="1" t="s">
        <v>39</v>
      </c>
      <c r="B17" s="1" t="s">
        <v>14</v>
      </c>
      <c r="C17" s="1" t="s">
        <v>243</v>
      </c>
      <c r="D17" s="1" t="s">
        <v>335</v>
      </c>
      <c r="E17" s="1" t="s">
        <v>122</v>
      </c>
      <c r="F17" s="1">
        <v>4</v>
      </c>
      <c r="G17" s="60" t="s">
        <v>517</v>
      </c>
    </row>
    <row r="18" spans="1:7" x14ac:dyDescent="0.55000000000000004">
      <c r="A18" s="1" t="s">
        <v>40</v>
      </c>
      <c r="B18" s="1" t="s">
        <v>174</v>
      </c>
      <c r="C18" s="1" t="s">
        <v>244</v>
      </c>
      <c r="D18" s="1" t="s">
        <v>317</v>
      </c>
      <c r="E18" s="1" t="s">
        <v>123</v>
      </c>
      <c r="F18" s="1">
        <v>1</v>
      </c>
      <c r="G18" s="60" t="s">
        <v>518</v>
      </c>
    </row>
    <row r="19" spans="1:7" x14ac:dyDescent="0.55000000000000004">
      <c r="A19" s="1" t="s">
        <v>41</v>
      </c>
      <c r="B19" s="1" t="s">
        <v>175</v>
      </c>
      <c r="C19" s="1" t="s">
        <v>245</v>
      </c>
      <c r="D19" s="1" t="s">
        <v>318</v>
      </c>
      <c r="E19" s="1" t="s">
        <v>123</v>
      </c>
      <c r="F19" s="1">
        <v>2</v>
      </c>
      <c r="G19" s="60" t="s">
        <v>519</v>
      </c>
    </row>
    <row r="20" spans="1:7" x14ac:dyDescent="0.55000000000000004">
      <c r="A20" s="1" t="s">
        <v>42</v>
      </c>
      <c r="B20" s="1" t="s">
        <v>176</v>
      </c>
      <c r="C20" s="1" t="s">
        <v>246</v>
      </c>
      <c r="D20" s="1" t="s">
        <v>319</v>
      </c>
      <c r="E20" s="1" t="s">
        <v>123</v>
      </c>
      <c r="F20" s="1">
        <v>3</v>
      </c>
      <c r="G20" s="60" t="s">
        <v>520</v>
      </c>
    </row>
    <row r="21" spans="1:7" x14ac:dyDescent="0.55000000000000004">
      <c r="A21" s="1" t="s">
        <v>43</v>
      </c>
      <c r="B21" s="1" t="s">
        <v>177</v>
      </c>
      <c r="C21" s="1" t="s">
        <v>247</v>
      </c>
      <c r="D21" s="1" t="s">
        <v>320</v>
      </c>
      <c r="E21" s="1" t="s">
        <v>123</v>
      </c>
      <c r="F21" s="1">
        <v>4</v>
      </c>
      <c r="G21" s="60" t="s">
        <v>521</v>
      </c>
    </row>
    <row r="22" spans="1:7" x14ac:dyDescent="0.55000000000000004">
      <c r="A22" s="1" t="s">
        <v>44</v>
      </c>
      <c r="B22" s="1" t="s">
        <v>178</v>
      </c>
      <c r="C22" s="1" t="s">
        <v>248</v>
      </c>
      <c r="D22" s="1" t="s">
        <v>321</v>
      </c>
      <c r="E22" s="1" t="s">
        <v>124</v>
      </c>
      <c r="F22" s="1">
        <v>1</v>
      </c>
      <c r="G22" s="60" t="s">
        <v>522</v>
      </c>
    </row>
    <row r="23" spans="1:7" x14ac:dyDescent="0.55000000000000004">
      <c r="A23" s="1" t="s">
        <v>45</v>
      </c>
      <c r="B23" s="1" t="s">
        <v>179</v>
      </c>
      <c r="C23" s="1" t="s">
        <v>249</v>
      </c>
      <c r="D23" s="1" t="s">
        <v>322</v>
      </c>
      <c r="E23" s="1" t="s">
        <v>124</v>
      </c>
      <c r="F23" s="1">
        <v>2</v>
      </c>
      <c r="G23" s="60" t="s">
        <v>523</v>
      </c>
    </row>
    <row r="24" spans="1:7" x14ac:dyDescent="0.55000000000000004">
      <c r="A24" s="1" t="s">
        <v>46</v>
      </c>
      <c r="B24" s="1" t="s">
        <v>180</v>
      </c>
      <c r="C24" s="1" t="s">
        <v>250</v>
      </c>
      <c r="D24" s="1" t="s">
        <v>320</v>
      </c>
      <c r="E24" s="1" t="s">
        <v>124</v>
      </c>
      <c r="F24" s="1">
        <v>3</v>
      </c>
      <c r="G24" s="60" t="s">
        <v>524</v>
      </c>
    </row>
    <row r="25" spans="1:7" x14ac:dyDescent="0.55000000000000004">
      <c r="A25" s="1" t="s">
        <v>47</v>
      </c>
      <c r="B25" s="1" t="s">
        <v>181</v>
      </c>
      <c r="C25" s="1" t="s">
        <v>251</v>
      </c>
      <c r="D25" s="1" t="s">
        <v>323</v>
      </c>
      <c r="E25" s="1" t="s">
        <v>124</v>
      </c>
      <c r="F25" s="1">
        <v>4</v>
      </c>
      <c r="G25" s="60" t="s">
        <v>525</v>
      </c>
    </row>
    <row r="26" spans="1:7" x14ac:dyDescent="0.55000000000000004">
      <c r="A26" s="1" t="s">
        <v>48</v>
      </c>
      <c r="B26" s="1" t="s">
        <v>182</v>
      </c>
      <c r="C26" s="1" t="s">
        <v>252</v>
      </c>
      <c r="D26" s="1" t="s">
        <v>319</v>
      </c>
      <c r="E26" s="1" t="s">
        <v>125</v>
      </c>
      <c r="F26" s="1">
        <v>1</v>
      </c>
      <c r="G26" s="60" t="s">
        <v>526</v>
      </c>
    </row>
    <row r="27" spans="1:7" x14ac:dyDescent="0.55000000000000004">
      <c r="A27" s="1" t="s">
        <v>49</v>
      </c>
      <c r="B27" s="1" t="s">
        <v>183</v>
      </c>
      <c r="C27" s="1" t="s">
        <v>253</v>
      </c>
      <c r="D27" s="1" t="s">
        <v>321</v>
      </c>
      <c r="E27" s="1" t="s">
        <v>125</v>
      </c>
      <c r="F27" s="1">
        <v>2</v>
      </c>
      <c r="G27" s="60" t="s">
        <v>527</v>
      </c>
    </row>
    <row r="28" spans="1:7" x14ac:dyDescent="0.55000000000000004">
      <c r="A28" s="1" t="s">
        <v>50</v>
      </c>
      <c r="B28" s="1" t="s">
        <v>184</v>
      </c>
      <c r="C28" s="1" t="s">
        <v>254</v>
      </c>
      <c r="D28" s="1" t="s">
        <v>323</v>
      </c>
      <c r="E28" s="1" t="s">
        <v>125</v>
      </c>
      <c r="F28" s="1">
        <v>3</v>
      </c>
      <c r="G28" s="60" t="s">
        <v>528</v>
      </c>
    </row>
    <row r="29" spans="1:7" x14ac:dyDescent="0.55000000000000004">
      <c r="A29" s="1" t="s">
        <v>51</v>
      </c>
      <c r="B29" s="1" t="s">
        <v>185</v>
      </c>
      <c r="C29" s="1" t="s">
        <v>255</v>
      </c>
      <c r="D29" s="1" t="s">
        <v>320</v>
      </c>
      <c r="E29" s="1" t="s">
        <v>125</v>
      </c>
      <c r="F29" s="1">
        <v>4</v>
      </c>
      <c r="G29" s="60" t="s">
        <v>529</v>
      </c>
    </row>
    <row r="30" spans="1:7" x14ac:dyDescent="0.55000000000000004">
      <c r="A30" s="1" t="s">
        <v>52</v>
      </c>
      <c r="B30" s="1" t="s">
        <v>186</v>
      </c>
      <c r="C30" s="1" t="s">
        <v>256</v>
      </c>
      <c r="D30" s="1" t="s">
        <v>319</v>
      </c>
      <c r="E30" s="1" t="s">
        <v>127</v>
      </c>
      <c r="F30" s="1">
        <v>1</v>
      </c>
      <c r="G30" s="60" t="s">
        <v>530</v>
      </c>
    </row>
    <row r="31" spans="1:7" x14ac:dyDescent="0.55000000000000004">
      <c r="A31" s="1" t="s">
        <v>53</v>
      </c>
      <c r="B31" s="1" t="s">
        <v>187</v>
      </c>
      <c r="C31" s="1" t="s">
        <v>257</v>
      </c>
      <c r="D31" s="1" t="s">
        <v>323</v>
      </c>
      <c r="E31" s="1" t="s">
        <v>127</v>
      </c>
      <c r="F31" s="1">
        <v>2</v>
      </c>
      <c r="G31" s="60" t="s">
        <v>531</v>
      </c>
    </row>
    <row r="32" spans="1:7" x14ac:dyDescent="0.55000000000000004">
      <c r="A32" s="1" t="s">
        <v>54</v>
      </c>
      <c r="B32" s="1" t="s">
        <v>188</v>
      </c>
      <c r="C32" s="1" t="s">
        <v>258</v>
      </c>
      <c r="D32" s="1" t="s">
        <v>317</v>
      </c>
      <c r="E32" s="1" t="s">
        <v>127</v>
      </c>
      <c r="F32" s="1">
        <v>3</v>
      </c>
      <c r="G32" s="60" t="s">
        <v>532</v>
      </c>
    </row>
    <row r="33" spans="1:7" x14ac:dyDescent="0.55000000000000004">
      <c r="A33" s="1" t="s">
        <v>55</v>
      </c>
      <c r="B33" s="1" t="s">
        <v>189</v>
      </c>
      <c r="C33" s="1" t="s">
        <v>259</v>
      </c>
      <c r="D33" s="1" t="s">
        <v>320</v>
      </c>
      <c r="E33" s="1" t="s">
        <v>127</v>
      </c>
      <c r="F33" s="1">
        <v>4</v>
      </c>
      <c r="G33" s="60" t="s">
        <v>533</v>
      </c>
    </row>
    <row r="34" spans="1:7" x14ac:dyDescent="0.55000000000000004">
      <c r="A34" s="1" t="s">
        <v>56</v>
      </c>
      <c r="B34" s="1" t="s">
        <v>190</v>
      </c>
      <c r="C34" s="1" t="s">
        <v>260</v>
      </c>
      <c r="D34" s="1" t="s">
        <v>321</v>
      </c>
      <c r="E34" s="1" t="s">
        <v>128</v>
      </c>
      <c r="F34" s="1">
        <v>1</v>
      </c>
      <c r="G34" s="60" t="s">
        <v>534</v>
      </c>
    </row>
    <row r="35" spans="1:7" x14ac:dyDescent="0.55000000000000004">
      <c r="A35" s="1" t="s">
        <v>57</v>
      </c>
      <c r="B35" s="1" t="s">
        <v>15</v>
      </c>
      <c r="C35" s="1" t="s">
        <v>261</v>
      </c>
      <c r="D35" s="1" t="s">
        <v>335</v>
      </c>
      <c r="E35" s="1" t="s">
        <v>128</v>
      </c>
      <c r="F35" s="1">
        <v>2</v>
      </c>
      <c r="G35" s="60" t="s">
        <v>535</v>
      </c>
    </row>
    <row r="36" spans="1:7" x14ac:dyDescent="0.55000000000000004">
      <c r="A36" s="1" t="s">
        <v>58</v>
      </c>
      <c r="B36" s="1" t="s">
        <v>16</v>
      </c>
      <c r="C36" s="1" t="s">
        <v>262</v>
      </c>
      <c r="D36" s="1" t="s">
        <v>335</v>
      </c>
      <c r="E36" s="1" t="s">
        <v>128</v>
      </c>
      <c r="F36" s="1">
        <v>3</v>
      </c>
      <c r="G36" s="60" t="s">
        <v>536</v>
      </c>
    </row>
    <row r="37" spans="1:7" x14ac:dyDescent="0.55000000000000004">
      <c r="A37" s="1" t="s">
        <v>59</v>
      </c>
      <c r="B37" s="1" t="s">
        <v>17</v>
      </c>
      <c r="C37" s="1" t="s">
        <v>263</v>
      </c>
      <c r="D37" s="1" t="s">
        <v>335</v>
      </c>
      <c r="E37" s="1" t="s">
        <v>128</v>
      </c>
      <c r="F37" s="1">
        <v>4</v>
      </c>
      <c r="G37" s="60" t="s">
        <v>537</v>
      </c>
    </row>
    <row r="38" spans="1:7" x14ac:dyDescent="0.55000000000000004">
      <c r="A38" s="1" t="s">
        <v>60</v>
      </c>
      <c r="B38" s="1" t="s">
        <v>191</v>
      </c>
      <c r="C38" s="1" t="s">
        <v>264</v>
      </c>
      <c r="D38" s="1" t="s">
        <v>317</v>
      </c>
      <c r="E38" s="1" t="s">
        <v>129</v>
      </c>
      <c r="F38" s="1">
        <v>1</v>
      </c>
      <c r="G38" s="60" t="s">
        <v>538</v>
      </c>
    </row>
    <row r="39" spans="1:7" x14ac:dyDescent="0.55000000000000004">
      <c r="A39" s="1" t="s">
        <v>61</v>
      </c>
      <c r="B39" s="1" t="s">
        <v>192</v>
      </c>
      <c r="C39" s="1" t="s">
        <v>265</v>
      </c>
      <c r="D39" s="1" t="s">
        <v>322</v>
      </c>
      <c r="E39" s="1" t="s">
        <v>129</v>
      </c>
      <c r="F39" s="1">
        <v>2</v>
      </c>
      <c r="G39" s="60" t="s">
        <v>539</v>
      </c>
    </row>
    <row r="40" spans="1:7" x14ac:dyDescent="0.55000000000000004">
      <c r="A40" s="1" t="s">
        <v>66</v>
      </c>
      <c r="B40" s="1" t="s">
        <v>20</v>
      </c>
      <c r="C40" s="1" t="s">
        <v>266</v>
      </c>
      <c r="D40" s="1" t="s">
        <v>335</v>
      </c>
      <c r="E40" s="1" t="s">
        <v>129</v>
      </c>
      <c r="F40" s="1">
        <v>3</v>
      </c>
      <c r="G40" s="60" t="s">
        <v>540</v>
      </c>
    </row>
    <row r="41" spans="1:7" x14ac:dyDescent="0.55000000000000004">
      <c r="A41" s="1" t="s">
        <v>67</v>
      </c>
      <c r="B41" s="1" t="s">
        <v>21</v>
      </c>
      <c r="C41" s="1" t="s">
        <v>267</v>
      </c>
      <c r="D41" s="1" t="s">
        <v>335</v>
      </c>
      <c r="E41" s="1" t="s">
        <v>129</v>
      </c>
      <c r="F41" s="1">
        <v>4</v>
      </c>
      <c r="G41" s="60" t="s">
        <v>541</v>
      </c>
    </row>
    <row r="42" spans="1:7" x14ac:dyDescent="0.55000000000000004">
      <c r="A42" s="1" t="s">
        <v>62</v>
      </c>
      <c r="B42" s="1" t="s">
        <v>193</v>
      </c>
      <c r="C42" s="1" t="s">
        <v>268</v>
      </c>
      <c r="D42" s="1" t="s">
        <v>321</v>
      </c>
      <c r="E42" s="1" t="s">
        <v>130</v>
      </c>
      <c r="F42" s="1">
        <v>1</v>
      </c>
      <c r="G42" s="60" t="s">
        <v>542</v>
      </c>
    </row>
    <row r="43" spans="1:7" x14ac:dyDescent="0.55000000000000004">
      <c r="A43" s="1" t="s">
        <v>63</v>
      </c>
      <c r="B43" s="1" t="s">
        <v>194</v>
      </c>
      <c r="C43" s="1" t="s">
        <v>269</v>
      </c>
      <c r="D43" s="1" t="s">
        <v>318</v>
      </c>
      <c r="E43" s="1" t="s">
        <v>130</v>
      </c>
      <c r="F43" s="1">
        <v>2</v>
      </c>
      <c r="G43" s="60" t="s">
        <v>543</v>
      </c>
    </row>
    <row r="44" spans="1:7" x14ac:dyDescent="0.55000000000000004">
      <c r="A44" s="1" t="s">
        <v>64</v>
      </c>
      <c r="B44" s="1" t="s">
        <v>18</v>
      </c>
      <c r="C44" s="1" t="s">
        <v>270</v>
      </c>
      <c r="D44" s="1" t="s">
        <v>335</v>
      </c>
      <c r="E44" s="1" t="s">
        <v>130</v>
      </c>
      <c r="F44" s="1">
        <v>3</v>
      </c>
      <c r="G44" s="60" t="s">
        <v>544</v>
      </c>
    </row>
    <row r="45" spans="1:7" x14ac:dyDescent="0.55000000000000004">
      <c r="A45" s="1" t="s">
        <v>65</v>
      </c>
      <c r="B45" s="1" t="s">
        <v>19</v>
      </c>
      <c r="C45" s="1" t="s">
        <v>271</v>
      </c>
      <c r="D45" s="1" t="s">
        <v>335</v>
      </c>
      <c r="E45" s="1" t="s">
        <v>130</v>
      </c>
      <c r="F45" s="1">
        <v>4</v>
      </c>
      <c r="G45" s="60" t="s">
        <v>545</v>
      </c>
    </row>
    <row r="46" spans="1:7" x14ac:dyDescent="0.55000000000000004">
      <c r="A46" s="1" t="s">
        <v>68</v>
      </c>
      <c r="B46" s="1" t="s">
        <v>195</v>
      </c>
      <c r="C46" s="1" t="s">
        <v>272</v>
      </c>
      <c r="D46" s="1" t="s">
        <v>323</v>
      </c>
      <c r="E46" s="1" t="s">
        <v>131</v>
      </c>
      <c r="F46" s="1">
        <v>1</v>
      </c>
      <c r="G46" s="60" t="s">
        <v>546</v>
      </c>
    </row>
    <row r="47" spans="1:7" x14ac:dyDescent="0.55000000000000004">
      <c r="A47" s="1" t="s">
        <v>69</v>
      </c>
      <c r="B47" s="1" t="s">
        <v>196</v>
      </c>
      <c r="C47" s="1" t="s">
        <v>273</v>
      </c>
      <c r="D47" s="1" t="s">
        <v>318</v>
      </c>
      <c r="E47" s="1" t="s">
        <v>131</v>
      </c>
      <c r="F47" s="1">
        <v>2</v>
      </c>
      <c r="G47" s="60" t="s">
        <v>547</v>
      </c>
    </row>
    <row r="48" spans="1:7" x14ac:dyDescent="0.55000000000000004">
      <c r="A48" s="1" t="s">
        <v>70</v>
      </c>
      <c r="B48" s="1" t="s">
        <v>22</v>
      </c>
      <c r="C48" s="1" t="s">
        <v>274</v>
      </c>
      <c r="D48" s="1" t="s">
        <v>335</v>
      </c>
      <c r="E48" s="1" t="s">
        <v>131</v>
      </c>
      <c r="F48" s="1">
        <v>3</v>
      </c>
      <c r="G48" s="60" t="s">
        <v>548</v>
      </c>
    </row>
    <row r="49" spans="1:7" x14ac:dyDescent="0.55000000000000004">
      <c r="A49" s="1" t="s">
        <v>71</v>
      </c>
      <c r="B49" s="1" t="s">
        <v>23</v>
      </c>
      <c r="C49" s="1" t="s">
        <v>275</v>
      </c>
      <c r="D49" s="1" t="s">
        <v>335</v>
      </c>
      <c r="E49" s="1" t="s">
        <v>131</v>
      </c>
      <c r="F49" s="1">
        <v>4</v>
      </c>
      <c r="G49" s="60" t="s">
        <v>549</v>
      </c>
    </row>
    <row r="50" spans="1:7" x14ac:dyDescent="0.55000000000000004">
      <c r="A50" s="1" t="s">
        <v>72</v>
      </c>
      <c r="B50" s="1" t="s">
        <v>392</v>
      </c>
      <c r="C50" s="1" t="s">
        <v>393</v>
      </c>
      <c r="D50" s="1" t="s">
        <v>324</v>
      </c>
      <c r="E50" s="1" t="s">
        <v>132</v>
      </c>
      <c r="F50" s="1">
        <v>1</v>
      </c>
      <c r="G50" s="60" t="s">
        <v>550</v>
      </c>
    </row>
    <row r="51" spans="1:7" x14ac:dyDescent="0.55000000000000004">
      <c r="A51" s="1" t="s">
        <v>73</v>
      </c>
      <c r="B51" s="1" t="s">
        <v>197</v>
      </c>
      <c r="C51" s="1" t="s">
        <v>276</v>
      </c>
      <c r="D51" s="1" t="s">
        <v>323</v>
      </c>
      <c r="E51" s="1" t="s">
        <v>132</v>
      </c>
      <c r="F51" s="1">
        <v>2</v>
      </c>
      <c r="G51" s="60" t="s">
        <v>551</v>
      </c>
    </row>
    <row r="52" spans="1:7" x14ac:dyDescent="0.55000000000000004">
      <c r="A52" s="1" t="s">
        <v>75</v>
      </c>
      <c r="B52" s="1" t="s">
        <v>198</v>
      </c>
      <c r="C52" s="1" t="s">
        <v>277</v>
      </c>
      <c r="D52" s="1" t="s">
        <v>320</v>
      </c>
      <c r="E52" s="1" t="s">
        <v>132</v>
      </c>
      <c r="F52" s="1">
        <v>3</v>
      </c>
      <c r="G52" s="60" t="s">
        <v>552</v>
      </c>
    </row>
    <row r="53" spans="1:7" x14ac:dyDescent="0.55000000000000004">
      <c r="A53" s="1" t="s">
        <v>76</v>
      </c>
      <c r="B53" s="1" t="s">
        <v>199</v>
      </c>
      <c r="C53" s="1" t="s">
        <v>278</v>
      </c>
      <c r="D53" s="1" t="s">
        <v>317</v>
      </c>
      <c r="E53" s="1" t="s">
        <v>132</v>
      </c>
      <c r="F53" s="1">
        <v>4</v>
      </c>
      <c r="G53" s="60" t="s">
        <v>553</v>
      </c>
    </row>
    <row r="54" spans="1:7" x14ac:dyDescent="0.55000000000000004">
      <c r="A54" s="1" t="s">
        <v>74</v>
      </c>
      <c r="B54" s="1" t="s">
        <v>200</v>
      </c>
      <c r="C54" s="1" t="s">
        <v>279</v>
      </c>
      <c r="D54" s="1" t="s">
        <v>324</v>
      </c>
      <c r="E54" s="1" t="s">
        <v>133</v>
      </c>
      <c r="F54" s="1">
        <v>1</v>
      </c>
      <c r="G54" s="60" t="s">
        <v>554</v>
      </c>
    </row>
    <row r="55" spans="1:7" x14ac:dyDescent="0.55000000000000004">
      <c r="A55" s="1" t="s">
        <v>77</v>
      </c>
      <c r="B55" s="1" t="s">
        <v>201</v>
      </c>
      <c r="C55" s="1" t="s">
        <v>280</v>
      </c>
      <c r="D55" s="1" t="s">
        <v>319</v>
      </c>
      <c r="E55" s="1" t="s">
        <v>133</v>
      </c>
      <c r="F55" s="1">
        <v>2</v>
      </c>
      <c r="G55" s="60" t="s">
        <v>555</v>
      </c>
    </row>
    <row r="56" spans="1:7" x14ac:dyDescent="0.55000000000000004">
      <c r="A56" s="1" t="s">
        <v>78</v>
      </c>
      <c r="B56" s="1" t="s">
        <v>202</v>
      </c>
      <c r="C56" s="1" t="s">
        <v>281</v>
      </c>
      <c r="D56" s="1" t="s">
        <v>318</v>
      </c>
      <c r="E56" s="1" t="s">
        <v>133</v>
      </c>
      <c r="F56" s="1">
        <v>3</v>
      </c>
      <c r="G56" s="60" t="s">
        <v>556</v>
      </c>
    </row>
    <row r="57" spans="1:7" x14ac:dyDescent="0.55000000000000004">
      <c r="A57" s="1" t="s">
        <v>79</v>
      </c>
      <c r="B57" s="1" t="s">
        <v>203</v>
      </c>
      <c r="C57" s="1" t="s">
        <v>282</v>
      </c>
      <c r="D57" s="1" t="s">
        <v>324</v>
      </c>
      <c r="E57" s="1" t="s">
        <v>133</v>
      </c>
      <c r="F57" s="1">
        <v>4</v>
      </c>
      <c r="G57" s="60" t="s">
        <v>557</v>
      </c>
    </row>
    <row r="58" spans="1:7" x14ac:dyDescent="0.55000000000000004">
      <c r="A58" s="1" t="s">
        <v>84</v>
      </c>
      <c r="B58" s="1" t="s">
        <v>204</v>
      </c>
      <c r="C58" s="1" t="s">
        <v>283</v>
      </c>
      <c r="D58" s="1" t="s">
        <v>324</v>
      </c>
      <c r="E58" s="1" t="s">
        <v>134</v>
      </c>
      <c r="F58" s="1">
        <v>1</v>
      </c>
      <c r="G58" s="60" t="s">
        <v>558</v>
      </c>
    </row>
    <row r="59" spans="1:7" x14ac:dyDescent="0.55000000000000004">
      <c r="A59" s="1" t="s">
        <v>82</v>
      </c>
      <c r="B59" s="1" t="s">
        <v>205</v>
      </c>
      <c r="C59" s="1" t="s">
        <v>287</v>
      </c>
      <c r="D59" s="1" t="s">
        <v>322</v>
      </c>
      <c r="E59" s="1" t="s">
        <v>134</v>
      </c>
      <c r="F59" s="1">
        <v>2</v>
      </c>
      <c r="G59" s="60" t="s">
        <v>559</v>
      </c>
    </row>
    <row r="60" spans="1:7" x14ac:dyDescent="0.55000000000000004">
      <c r="A60" s="1" t="s">
        <v>81</v>
      </c>
      <c r="B60" s="1" t="s">
        <v>206</v>
      </c>
      <c r="C60" s="1" t="s">
        <v>284</v>
      </c>
      <c r="D60" s="1" t="s">
        <v>320</v>
      </c>
      <c r="E60" s="1" t="s">
        <v>134</v>
      </c>
      <c r="F60" s="1">
        <v>3</v>
      </c>
      <c r="G60" s="60" t="s">
        <v>560</v>
      </c>
    </row>
    <row r="61" spans="1:7" x14ac:dyDescent="0.55000000000000004">
      <c r="A61" s="1" t="s">
        <v>85</v>
      </c>
      <c r="B61" s="1" t="s">
        <v>207</v>
      </c>
      <c r="C61" s="1" t="s">
        <v>285</v>
      </c>
      <c r="D61" s="1" t="s">
        <v>319</v>
      </c>
      <c r="E61" s="1" t="s">
        <v>134</v>
      </c>
      <c r="F61" s="1">
        <v>4</v>
      </c>
      <c r="G61" s="60" t="s">
        <v>561</v>
      </c>
    </row>
    <row r="62" spans="1:7" x14ac:dyDescent="0.55000000000000004">
      <c r="A62" s="1" t="s">
        <v>86</v>
      </c>
      <c r="B62" s="1" t="s">
        <v>208</v>
      </c>
      <c r="C62" s="1" t="s">
        <v>286</v>
      </c>
      <c r="D62" s="1" t="s">
        <v>324</v>
      </c>
      <c r="E62" s="1" t="s">
        <v>135</v>
      </c>
      <c r="F62" s="1">
        <v>1</v>
      </c>
      <c r="G62" s="60" t="s">
        <v>562</v>
      </c>
    </row>
    <row r="63" spans="1:7" x14ac:dyDescent="0.55000000000000004">
      <c r="A63" s="1" t="s">
        <v>87</v>
      </c>
      <c r="B63" s="1" t="s">
        <v>209</v>
      </c>
      <c r="C63" s="1" t="s">
        <v>288</v>
      </c>
      <c r="D63" s="1" t="s">
        <v>318</v>
      </c>
      <c r="E63" s="1" t="s">
        <v>135</v>
      </c>
      <c r="F63" s="1">
        <v>2</v>
      </c>
      <c r="G63" s="60" t="s">
        <v>563</v>
      </c>
    </row>
    <row r="64" spans="1:7" x14ac:dyDescent="0.55000000000000004">
      <c r="A64" s="1" t="s">
        <v>83</v>
      </c>
      <c r="B64" s="1" t="s">
        <v>210</v>
      </c>
      <c r="C64" s="1" t="s">
        <v>289</v>
      </c>
      <c r="D64" s="1" t="s">
        <v>317</v>
      </c>
      <c r="E64" s="1" t="s">
        <v>135</v>
      </c>
      <c r="F64" s="1">
        <v>3</v>
      </c>
      <c r="G64" s="60" t="s">
        <v>564</v>
      </c>
    </row>
    <row r="65" spans="1:7" x14ac:dyDescent="0.55000000000000004">
      <c r="A65" s="1" t="s">
        <v>88</v>
      </c>
      <c r="B65" s="1" t="s">
        <v>80</v>
      </c>
      <c r="C65" s="1" t="s">
        <v>290</v>
      </c>
      <c r="D65" s="1" t="s">
        <v>351</v>
      </c>
      <c r="E65" s="1" t="s">
        <v>135</v>
      </c>
      <c r="F65" s="1">
        <v>4</v>
      </c>
      <c r="G65" s="60" t="s">
        <v>565</v>
      </c>
    </row>
    <row r="66" spans="1:7" s="2" customFormat="1" x14ac:dyDescent="0.55000000000000004">
      <c r="A66" s="2" t="s">
        <v>89</v>
      </c>
      <c r="B66" s="3" t="s">
        <v>211</v>
      </c>
      <c r="C66" s="3" t="s">
        <v>291</v>
      </c>
      <c r="D66" s="2" t="s">
        <v>324</v>
      </c>
      <c r="E66" s="1" t="s">
        <v>136</v>
      </c>
      <c r="F66" s="1">
        <v>1</v>
      </c>
      <c r="G66" s="60" t="s">
        <v>566</v>
      </c>
    </row>
    <row r="67" spans="1:7" x14ac:dyDescent="0.55000000000000004">
      <c r="A67" s="2" t="s">
        <v>90</v>
      </c>
      <c r="B67" s="2" t="s">
        <v>212</v>
      </c>
      <c r="C67" s="2" t="s">
        <v>292</v>
      </c>
      <c r="D67" s="2" t="s">
        <v>318</v>
      </c>
      <c r="E67" s="1" t="s">
        <v>136</v>
      </c>
      <c r="F67" s="1">
        <v>2</v>
      </c>
      <c r="G67" s="60" t="s">
        <v>567</v>
      </c>
    </row>
    <row r="68" spans="1:7" x14ac:dyDescent="0.55000000000000004">
      <c r="A68" s="2" t="s">
        <v>91</v>
      </c>
      <c r="B68" s="2" t="s">
        <v>213</v>
      </c>
      <c r="C68" s="2" t="s">
        <v>293</v>
      </c>
      <c r="D68" s="2" t="s">
        <v>323</v>
      </c>
      <c r="E68" s="1" t="s">
        <v>136</v>
      </c>
      <c r="F68" s="1">
        <v>3</v>
      </c>
      <c r="G68" s="60" t="s">
        <v>568</v>
      </c>
    </row>
    <row r="69" spans="1:7" x14ac:dyDescent="0.55000000000000004">
      <c r="A69" s="2" t="s">
        <v>92</v>
      </c>
      <c r="B69" s="2" t="s">
        <v>214</v>
      </c>
      <c r="C69" s="2" t="s">
        <v>294</v>
      </c>
      <c r="D69" s="2" t="s">
        <v>317</v>
      </c>
      <c r="E69" s="1" t="s">
        <v>136</v>
      </c>
      <c r="F69" s="1">
        <v>4</v>
      </c>
      <c r="G69" s="60" t="s">
        <v>569</v>
      </c>
    </row>
    <row r="70" spans="1:7" x14ac:dyDescent="0.55000000000000004">
      <c r="A70" s="2" t="s">
        <v>93</v>
      </c>
      <c r="B70" s="2" t="s">
        <v>215</v>
      </c>
      <c r="C70" s="2" t="s">
        <v>295</v>
      </c>
      <c r="D70" s="2" t="s">
        <v>324</v>
      </c>
      <c r="E70" s="1" t="s">
        <v>137</v>
      </c>
      <c r="F70" s="1">
        <v>1</v>
      </c>
      <c r="G70" s="60" t="s">
        <v>570</v>
      </c>
    </row>
    <row r="71" spans="1:7" x14ac:dyDescent="0.55000000000000004">
      <c r="A71" s="2" t="s">
        <v>94</v>
      </c>
      <c r="B71" s="2" t="s">
        <v>216</v>
      </c>
      <c r="C71" s="2" t="s">
        <v>296</v>
      </c>
      <c r="D71" s="2" t="s">
        <v>319</v>
      </c>
      <c r="E71" s="1" t="s">
        <v>137</v>
      </c>
      <c r="F71" s="1">
        <v>2</v>
      </c>
      <c r="G71" s="60" t="s">
        <v>571</v>
      </c>
    </row>
    <row r="72" spans="1:7" x14ac:dyDescent="0.55000000000000004">
      <c r="A72" s="2" t="s">
        <v>95</v>
      </c>
      <c r="B72" s="2" t="s">
        <v>217</v>
      </c>
      <c r="C72" s="2" t="s">
        <v>297</v>
      </c>
      <c r="D72" s="2" t="s">
        <v>324</v>
      </c>
      <c r="E72" s="1" t="s">
        <v>137</v>
      </c>
      <c r="F72" s="1">
        <v>3</v>
      </c>
      <c r="G72" s="60" t="s">
        <v>572</v>
      </c>
    </row>
    <row r="73" spans="1:7" x14ac:dyDescent="0.55000000000000004">
      <c r="A73" s="2" t="s">
        <v>96</v>
      </c>
      <c r="B73" s="2" t="s">
        <v>218</v>
      </c>
      <c r="C73" s="2" t="s">
        <v>298</v>
      </c>
      <c r="D73" s="2" t="s">
        <v>323</v>
      </c>
      <c r="E73" s="1" t="s">
        <v>137</v>
      </c>
      <c r="F73" s="1">
        <v>4</v>
      </c>
      <c r="G73" s="60" t="s">
        <v>573</v>
      </c>
    </row>
    <row r="74" spans="1:7" x14ac:dyDescent="0.55000000000000004">
      <c r="A74" s="1" t="s">
        <v>308</v>
      </c>
      <c r="B74" s="1" t="s">
        <v>219</v>
      </c>
      <c r="C74" s="1" t="s">
        <v>299</v>
      </c>
      <c r="D74" s="2" t="s">
        <v>324</v>
      </c>
      <c r="E74" s="1" t="s">
        <v>138</v>
      </c>
      <c r="F74" s="1">
        <v>1</v>
      </c>
      <c r="G74" s="60" t="s">
        <v>574</v>
      </c>
    </row>
    <row r="75" spans="1:7" x14ac:dyDescent="0.55000000000000004">
      <c r="A75" s="1" t="s">
        <v>309</v>
      </c>
      <c r="B75" s="1" t="s">
        <v>220</v>
      </c>
      <c r="C75" s="1" t="s">
        <v>300</v>
      </c>
      <c r="D75" s="2" t="s">
        <v>318</v>
      </c>
      <c r="E75" s="1" t="s">
        <v>138</v>
      </c>
      <c r="F75" s="1">
        <v>2</v>
      </c>
      <c r="G75" s="60" t="s">
        <v>575</v>
      </c>
    </row>
    <row r="76" spans="1:7" x14ac:dyDescent="0.55000000000000004">
      <c r="A76" s="1" t="s">
        <v>310</v>
      </c>
      <c r="B76" s="1" t="s">
        <v>221</v>
      </c>
      <c r="C76" s="1" t="s">
        <v>301</v>
      </c>
      <c r="D76" s="2" t="s">
        <v>317</v>
      </c>
      <c r="E76" s="1" t="s">
        <v>138</v>
      </c>
      <c r="F76" s="1">
        <v>3</v>
      </c>
      <c r="G76" s="60" t="s">
        <v>576</v>
      </c>
    </row>
    <row r="77" spans="1:7" x14ac:dyDescent="0.55000000000000004">
      <c r="A77" s="1" t="s">
        <v>311</v>
      </c>
      <c r="B77" s="1" t="s">
        <v>222</v>
      </c>
      <c r="C77" s="1" t="s">
        <v>302</v>
      </c>
      <c r="D77" s="1" t="s">
        <v>351</v>
      </c>
      <c r="E77" s="1" t="s">
        <v>138</v>
      </c>
      <c r="F77" s="1">
        <v>4</v>
      </c>
      <c r="G77" s="60" t="s">
        <v>577</v>
      </c>
    </row>
    <row r="78" spans="1:7" x14ac:dyDescent="0.55000000000000004">
      <c r="A78" s="1" t="s">
        <v>312</v>
      </c>
      <c r="B78" s="1" t="s">
        <v>223</v>
      </c>
      <c r="C78" s="1" t="s">
        <v>303</v>
      </c>
      <c r="D78" s="2" t="s">
        <v>324</v>
      </c>
      <c r="E78" s="1" t="s">
        <v>139</v>
      </c>
      <c r="F78" s="1">
        <v>1</v>
      </c>
      <c r="G78" s="60" t="s">
        <v>578</v>
      </c>
    </row>
    <row r="79" spans="1:7" x14ac:dyDescent="0.55000000000000004">
      <c r="A79" s="1" t="s">
        <v>313</v>
      </c>
      <c r="B79" s="1" t="s">
        <v>305</v>
      </c>
      <c r="C79" s="1" t="s">
        <v>304</v>
      </c>
      <c r="D79" s="2" t="s">
        <v>319</v>
      </c>
      <c r="E79" s="1" t="s">
        <v>139</v>
      </c>
      <c r="F79" s="1">
        <v>2</v>
      </c>
      <c r="G79" s="60" t="s">
        <v>579</v>
      </c>
    </row>
    <row r="80" spans="1:7" x14ac:dyDescent="0.55000000000000004">
      <c r="A80" s="1" t="s">
        <v>314</v>
      </c>
      <c r="B80" s="1" t="s">
        <v>224</v>
      </c>
      <c r="C80" s="1" t="s">
        <v>307</v>
      </c>
      <c r="D80" s="2" t="s">
        <v>321</v>
      </c>
      <c r="E80" s="1" t="s">
        <v>139</v>
      </c>
      <c r="F80" s="1">
        <v>3</v>
      </c>
      <c r="G80" s="60" t="s">
        <v>580</v>
      </c>
    </row>
    <row r="81" spans="1:7" x14ac:dyDescent="0.55000000000000004">
      <c r="A81" s="1" t="s">
        <v>315</v>
      </c>
      <c r="B81" s="1" t="s">
        <v>225</v>
      </c>
      <c r="C81" s="1" t="s">
        <v>306</v>
      </c>
      <c r="D81" s="2" t="s">
        <v>324</v>
      </c>
      <c r="E81" s="1" t="s">
        <v>139</v>
      </c>
      <c r="F81" s="1">
        <v>4</v>
      </c>
      <c r="G81" s="60" t="s">
        <v>581</v>
      </c>
    </row>
    <row r="82" spans="1:7" x14ac:dyDescent="0.55000000000000004">
      <c r="A82" s="1" t="s">
        <v>447</v>
      </c>
      <c r="B82" s="1" t="s">
        <v>431</v>
      </c>
      <c r="C82" s="1" t="s">
        <v>439</v>
      </c>
      <c r="D82" s="2" t="s">
        <v>455</v>
      </c>
      <c r="E82" s="1" t="s">
        <v>460</v>
      </c>
      <c r="F82" s="1">
        <v>1</v>
      </c>
      <c r="G82" s="60" t="s">
        <v>582</v>
      </c>
    </row>
    <row r="83" spans="1:7" x14ac:dyDescent="0.55000000000000004">
      <c r="A83" s="1" t="s">
        <v>448</v>
      </c>
      <c r="B83" s="1" t="s">
        <v>432</v>
      </c>
      <c r="C83" s="1" t="s">
        <v>440</v>
      </c>
      <c r="D83" s="2" t="s">
        <v>456</v>
      </c>
      <c r="E83" s="1" t="s">
        <v>460</v>
      </c>
      <c r="F83" s="1">
        <v>2</v>
      </c>
      <c r="G83" s="60" t="s">
        <v>583</v>
      </c>
    </row>
    <row r="84" spans="1:7" x14ac:dyDescent="0.55000000000000004">
      <c r="A84" s="1" t="s">
        <v>449</v>
      </c>
      <c r="B84" s="1" t="s">
        <v>433</v>
      </c>
      <c r="C84" s="1" t="s">
        <v>441</v>
      </c>
      <c r="D84" s="2" t="s">
        <v>457</v>
      </c>
      <c r="E84" s="1" t="s">
        <v>460</v>
      </c>
      <c r="F84" s="1">
        <v>3</v>
      </c>
      <c r="G84" s="60" t="s">
        <v>584</v>
      </c>
    </row>
    <row r="85" spans="1:7" x14ac:dyDescent="0.55000000000000004">
      <c r="A85" s="1" t="s">
        <v>450</v>
      </c>
      <c r="B85" s="1" t="s">
        <v>434</v>
      </c>
      <c r="C85" s="1" t="s">
        <v>442</v>
      </c>
      <c r="D85" s="2" t="s">
        <v>458</v>
      </c>
      <c r="E85" s="1" t="s">
        <v>460</v>
      </c>
      <c r="F85" s="1">
        <v>4</v>
      </c>
      <c r="G85" s="60" t="s">
        <v>585</v>
      </c>
    </row>
    <row r="86" spans="1:7" x14ac:dyDescent="0.55000000000000004">
      <c r="A86" s="1" t="s">
        <v>451</v>
      </c>
      <c r="B86" s="1" t="s">
        <v>435</v>
      </c>
      <c r="C86" s="1" t="s">
        <v>443</v>
      </c>
      <c r="D86" s="2" t="s">
        <v>455</v>
      </c>
      <c r="E86" s="1" t="s">
        <v>466</v>
      </c>
      <c r="F86" s="1">
        <v>1</v>
      </c>
      <c r="G86" s="60" t="s">
        <v>586</v>
      </c>
    </row>
    <row r="87" spans="1:7" x14ac:dyDescent="0.55000000000000004">
      <c r="A87" s="1" t="s">
        <v>452</v>
      </c>
      <c r="B87" s="1" t="s">
        <v>436</v>
      </c>
      <c r="C87" s="1" t="s">
        <v>444</v>
      </c>
      <c r="D87" s="2" t="s">
        <v>459</v>
      </c>
      <c r="E87" s="1" t="s">
        <v>466</v>
      </c>
      <c r="F87" s="1">
        <v>2</v>
      </c>
      <c r="G87" s="60" t="s">
        <v>587</v>
      </c>
    </row>
    <row r="88" spans="1:7" x14ac:dyDescent="0.55000000000000004">
      <c r="A88" s="1" t="s">
        <v>453</v>
      </c>
      <c r="B88" s="1" t="s">
        <v>437</v>
      </c>
      <c r="C88" s="1" t="s">
        <v>445</v>
      </c>
      <c r="D88" s="2" t="s">
        <v>457</v>
      </c>
      <c r="E88" s="1" t="s">
        <v>466</v>
      </c>
      <c r="F88" s="1">
        <v>3</v>
      </c>
      <c r="G88" s="60" t="s">
        <v>588</v>
      </c>
    </row>
    <row r="89" spans="1:7" x14ac:dyDescent="0.55000000000000004">
      <c r="A89" s="1" t="s">
        <v>454</v>
      </c>
      <c r="B89" s="1" t="s">
        <v>438</v>
      </c>
      <c r="C89" s="1" t="s">
        <v>446</v>
      </c>
      <c r="D89" s="2" t="s">
        <v>455</v>
      </c>
      <c r="E89" s="1" t="s">
        <v>466</v>
      </c>
      <c r="F89" s="1">
        <v>4</v>
      </c>
      <c r="G89" s="60" t="s">
        <v>589</v>
      </c>
    </row>
    <row r="90" spans="1:7" x14ac:dyDescent="0.55000000000000004">
      <c r="A90" s="1" t="s">
        <v>493</v>
      </c>
      <c r="B90" s="1" t="s">
        <v>470</v>
      </c>
      <c r="C90" s="1" t="s">
        <v>478</v>
      </c>
      <c r="D90" s="2" t="s">
        <v>486</v>
      </c>
      <c r="E90" s="1" t="s">
        <v>491</v>
      </c>
      <c r="F90" s="1">
        <v>1</v>
      </c>
      <c r="G90" s="60" t="s">
        <v>590</v>
      </c>
    </row>
    <row r="91" spans="1:7" x14ac:dyDescent="0.55000000000000004">
      <c r="A91" s="1" t="s">
        <v>494</v>
      </c>
      <c r="B91" s="1" t="s">
        <v>471</v>
      </c>
      <c r="C91" s="1" t="s">
        <v>479</v>
      </c>
      <c r="D91" s="2" t="s">
        <v>487</v>
      </c>
      <c r="E91" s="1" t="s">
        <v>491</v>
      </c>
      <c r="F91" s="1">
        <v>2</v>
      </c>
      <c r="G91" s="60" t="s">
        <v>591</v>
      </c>
    </row>
    <row r="92" spans="1:7" x14ac:dyDescent="0.55000000000000004">
      <c r="A92" s="1" t="s">
        <v>495</v>
      </c>
      <c r="B92" s="1" t="s">
        <v>472</v>
      </c>
      <c r="C92" s="1" t="s">
        <v>480</v>
      </c>
      <c r="D92" s="2" t="s">
        <v>488</v>
      </c>
      <c r="E92" s="1" t="s">
        <v>491</v>
      </c>
      <c r="F92" s="1">
        <v>3</v>
      </c>
      <c r="G92" s="60" t="s">
        <v>592</v>
      </c>
    </row>
    <row r="93" spans="1:7" x14ac:dyDescent="0.55000000000000004">
      <c r="A93" s="1" t="s">
        <v>496</v>
      </c>
      <c r="B93" s="1" t="s">
        <v>473</v>
      </c>
      <c r="C93" s="1" t="s">
        <v>481</v>
      </c>
      <c r="D93" s="2" t="s">
        <v>486</v>
      </c>
      <c r="E93" s="1" t="s">
        <v>491</v>
      </c>
      <c r="F93" s="1">
        <v>4</v>
      </c>
      <c r="G93" s="60" t="s">
        <v>593</v>
      </c>
    </row>
    <row r="94" spans="1:7" x14ac:dyDescent="0.55000000000000004">
      <c r="A94" s="1" t="s">
        <v>497</v>
      </c>
      <c r="B94" s="1" t="s">
        <v>477</v>
      </c>
      <c r="C94" s="1" t="s">
        <v>482</v>
      </c>
      <c r="D94" s="2" t="s">
        <v>486</v>
      </c>
      <c r="E94" s="1" t="s">
        <v>492</v>
      </c>
      <c r="F94" s="1">
        <v>1</v>
      </c>
      <c r="G94" s="60" t="s">
        <v>594</v>
      </c>
    </row>
    <row r="95" spans="1:7" x14ac:dyDescent="0.55000000000000004">
      <c r="A95" s="1" t="s">
        <v>498</v>
      </c>
      <c r="B95" s="1" t="s">
        <v>476</v>
      </c>
      <c r="C95" s="1" t="s">
        <v>483</v>
      </c>
      <c r="D95" s="2" t="s">
        <v>489</v>
      </c>
      <c r="E95" s="1" t="s">
        <v>492</v>
      </c>
      <c r="F95" s="1">
        <v>2</v>
      </c>
      <c r="G95" s="60" t="s">
        <v>595</v>
      </c>
    </row>
    <row r="96" spans="1:7" x14ac:dyDescent="0.55000000000000004">
      <c r="A96" s="1" t="s">
        <v>499</v>
      </c>
      <c r="B96" s="1" t="s">
        <v>475</v>
      </c>
      <c r="C96" s="1" t="s">
        <v>484</v>
      </c>
      <c r="D96" s="2" t="s">
        <v>490</v>
      </c>
      <c r="E96" s="1" t="s">
        <v>492</v>
      </c>
      <c r="F96" s="1">
        <v>3</v>
      </c>
      <c r="G96" s="60" t="s">
        <v>596</v>
      </c>
    </row>
    <row r="97" spans="1:7" x14ac:dyDescent="0.55000000000000004">
      <c r="A97" s="1" t="s">
        <v>500</v>
      </c>
      <c r="B97" s="1" t="s">
        <v>474</v>
      </c>
      <c r="C97" s="1" t="s">
        <v>485</v>
      </c>
      <c r="D97" s="2" t="s">
        <v>488</v>
      </c>
      <c r="E97" s="1" t="s">
        <v>492</v>
      </c>
      <c r="F97" s="1">
        <v>4</v>
      </c>
      <c r="G97" s="60" t="s">
        <v>597</v>
      </c>
    </row>
  </sheetData>
  <sheetProtection algorithmName="SHA-512" hashValue="KnAwxYho+5K+/S8LgpGNYuHut5rfQy1jv+2by3QCFUqSbMM88D5w05kJO/Kxdy2xVZvVEzml4pHb3d8OgHG/Ww==" saltValue="KPlwHj7pKV+Ol8yjFuLIkQ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1F3A8-E7D3-4FCA-A12F-95E6B6EE05DC}">
  <sheetPr codeName="Sheet6"/>
  <dimension ref="A1:E66"/>
  <sheetViews>
    <sheetView workbookViewId="0"/>
  </sheetViews>
  <sheetFormatPr defaultRowHeight="18" x14ac:dyDescent="0.55000000000000004"/>
  <cols>
    <col min="1" max="1" width="16.58203125" style="1" customWidth="1"/>
    <col min="2" max="3" width="19.25" style="1" customWidth="1"/>
    <col min="4" max="4" width="13.25" style="1" customWidth="1"/>
    <col min="5" max="5" width="11" style="1" customWidth="1"/>
    <col min="6" max="16384" width="8.6640625" style="1"/>
  </cols>
  <sheetData>
    <row r="1" spans="1:5" s="4" customFormat="1" x14ac:dyDescent="0.55000000000000004">
      <c r="A1" s="4" t="s">
        <v>98</v>
      </c>
      <c r="B1" s="4" t="s">
        <v>140</v>
      </c>
      <c r="C1" s="4" t="s">
        <v>141</v>
      </c>
      <c r="D1" s="4" t="s">
        <v>99</v>
      </c>
      <c r="E1" s="4" t="s">
        <v>162</v>
      </c>
    </row>
    <row r="2" spans="1:5" x14ac:dyDescent="0.55000000000000004">
      <c r="A2" s="1" t="s">
        <v>126</v>
      </c>
      <c r="B2" s="1" t="s">
        <v>100</v>
      </c>
      <c r="C2" s="1" t="s">
        <v>142</v>
      </c>
      <c r="D2" s="1">
        <v>1</v>
      </c>
      <c r="E2" s="1" t="s">
        <v>163</v>
      </c>
    </row>
    <row r="3" spans="1:5" x14ac:dyDescent="0.55000000000000004">
      <c r="A3" s="1" t="s">
        <v>120</v>
      </c>
      <c r="B3" s="1" t="s">
        <v>101</v>
      </c>
      <c r="C3" s="1" t="s">
        <v>143</v>
      </c>
      <c r="D3" s="1">
        <v>2</v>
      </c>
      <c r="E3" s="1" t="s">
        <v>163</v>
      </c>
    </row>
    <row r="4" spans="1:5" x14ac:dyDescent="0.55000000000000004">
      <c r="A4" s="1" t="s">
        <v>121</v>
      </c>
      <c r="B4" s="1" t="s">
        <v>102</v>
      </c>
      <c r="C4" s="1" t="s">
        <v>144</v>
      </c>
      <c r="D4" s="1">
        <v>3</v>
      </c>
      <c r="E4" s="1" t="s">
        <v>163</v>
      </c>
    </row>
    <row r="5" spans="1:5" x14ac:dyDescent="0.55000000000000004">
      <c r="A5" s="1" t="s">
        <v>122</v>
      </c>
      <c r="B5" s="1" t="s">
        <v>103</v>
      </c>
      <c r="C5" s="1" t="s">
        <v>146</v>
      </c>
      <c r="D5" s="1">
        <v>4</v>
      </c>
      <c r="E5" s="1" t="s">
        <v>163</v>
      </c>
    </row>
    <row r="6" spans="1:5" x14ac:dyDescent="0.55000000000000004">
      <c r="A6" s="1" t="s">
        <v>123</v>
      </c>
      <c r="B6" s="1" t="s">
        <v>104</v>
      </c>
      <c r="C6" s="1" t="s">
        <v>145</v>
      </c>
      <c r="D6" s="1">
        <v>5</v>
      </c>
      <c r="E6" s="1" t="s">
        <v>165</v>
      </c>
    </row>
    <row r="7" spans="1:5" x14ac:dyDescent="0.55000000000000004">
      <c r="A7" s="1" t="s">
        <v>124</v>
      </c>
      <c r="B7" s="1" t="s">
        <v>105</v>
      </c>
      <c r="C7" s="1" t="s">
        <v>147</v>
      </c>
      <c r="D7" s="1">
        <v>6</v>
      </c>
      <c r="E7" s="1" t="s">
        <v>165</v>
      </c>
    </row>
    <row r="8" spans="1:5" x14ac:dyDescent="0.55000000000000004">
      <c r="A8" s="1" t="s">
        <v>125</v>
      </c>
      <c r="B8" s="1" t="s">
        <v>106</v>
      </c>
      <c r="C8" s="1" t="s">
        <v>148</v>
      </c>
      <c r="D8" s="1">
        <v>7</v>
      </c>
      <c r="E8" s="1" t="s">
        <v>165</v>
      </c>
    </row>
    <row r="9" spans="1:5" x14ac:dyDescent="0.55000000000000004">
      <c r="A9" s="1" t="s">
        <v>127</v>
      </c>
      <c r="B9" s="1" t="s">
        <v>107</v>
      </c>
      <c r="C9" s="1" t="s">
        <v>149</v>
      </c>
      <c r="D9" s="1">
        <v>8</v>
      </c>
      <c r="E9" s="1" t="s">
        <v>165</v>
      </c>
    </row>
    <row r="10" spans="1:5" x14ac:dyDescent="0.55000000000000004">
      <c r="A10" s="1" t="s">
        <v>128</v>
      </c>
      <c r="B10" s="1" t="s">
        <v>108</v>
      </c>
      <c r="C10" s="1" t="s">
        <v>150</v>
      </c>
      <c r="D10" s="1">
        <v>9</v>
      </c>
      <c r="E10" s="1" t="s">
        <v>167</v>
      </c>
    </row>
    <row r="11" spans="1:5" x14ac:dyDescent="0.55000000000000004">
      <c r="A11" s="1" t="s">
        <v>129</v>
      </c>
      <c r="B11" s="1" t="s">
        <v>109</v>
      </c>
      <c r="C11" s="1" t="s">
        <v>151</v>
      </c>
      <c r="D11" s="1">
        <v>10</v>
      </c>
      <c r="E11" s="1" t="s">
        <v>167</v>
      </c>
    </row>
    <row r="12" spans="1:5" x14ac:dyDescent="0.55000000000000004">
      <c r="A12" s="1" t="s">
        <v>130</v>
      </c>
      <c r="B12" s="1" t="s">
        <v>110</v>
      </c>
      <c r="C12" s="1" t="s">
        <v>152</v>
      </c>
      <c r="D12" s="1">
        <v>11</v>
      </c>
      <c r="E12" s="1" t="s">
        <v>168</v>
      </c>
    </row>
    <row r="13" spans="1:5" x14ac:dyDescent="0.55000000000000004">
      <c r="A13" s="1" t="s">
        <v>131</v>
      </c>
      <c r="B13" s="1" t="s">
        <v>111</v>
      </c>
      <c r="C13" s="1" t="s">
        <v>153</v>
      </c>
      <c r="D13" s="1">
        <v>12</v>
      </c>
      <c r="E13" s="1" t="s">
        <v>168</v>
      </c>
    </row>
    <row r="14" spans="1:5" x14ac:dyDescent="0.55000000000000004">
      <c r="A14" s="1" t="s">
        <v>132</v>
      </c>
      <c r="B14" s="1" t="s">
        <v>112</v>
      </c>
      <c r="C14" s="1" t="s">
        <v>154</v>
      </c>
      <c r="D14" s="1">
        <v>13</v>
      </c>
      <c r="E14" s="1" t="s">
        <v>169</v>
      </c>
    </row>
    <row r="15" spans="1:5" x14ac:dyDescent="0.55000000000000004">
      <c r="A15" s="1" t="s">
        <v>133</v>
      </c>
      <c r="B15" s="1" t="s">
        <v>113</v>
      </c>
      <c r="C15" s="1" t="s">
        <v>155</v>
      </c>
      <c r="D15" s="1">
        <v>14</v>
      </c>
      <c r="E15" s="1" t="s">
        <v>169</v>
      </c>
    </row>
    <row r="16" spans="1:5" x14ac:dyDescent="0.55000000000000004">
      <c r="A16" s="1" t="s">
        <v>134</v>
      </c>
      <c r="B16" s="1" t="s">
        <v>114</v>
      </c>
      <c r="C16" s="1" t="s">
        <v>156</v>
      </c>
      <c r="D16" s="1">
        <v>15</v>
      </c>
      <c r="E16" s="1" t="s">
        <v>170</v>
      </c>
    </row>
    <row r="17" spans="1:5" x14ac:dyDescent="0.55000000000000004">
      <c r="A17" s="1" t="s">
        <v>135</v>
      </c>
      <c r="B17" s="1" t="s">
        <v>115</v>
      </c>
      <c r="C17" s="1" t="s">
        <v>157</v>
      </c>
      <c r="D17" s="1">
        <v>16</v>
      </c>
      <c r="E17" s="1" t="s">
        <v>170</v>
      </c>
    </row>
    <row r="18" spans="1:5" x14ac:dyDescent="0.55000000000000004">
      <c r="A18" s="1" t="s">
        <v>136</v>
      </c>
      <c r="B18" s="1" t="s">
        <v>116</v>
      </c>
      <c r="C18" s="1" t="s">
        <v>158</v>
      </c>
      <c r="D18" s="1">
        <v>17</v>
      </c>
      <c r="E18" s="1" t="s">
        <v>171</v>
      </c>
    </row>
    <row r="19" spans="1:5" x14ac:dyDescent="0.55000000000000004">
      <c r="A19" s="1" t="s">
        <v>137</v>
      </c>
      <c r="B19" s="1" t="s">
        <v>117</v>
      </c>
      <c r="C19" s="1" t="s">
        <v>159</v>
      </c>
      <c r="D19" s="1">
        <v>18</v>
      </c>
      <c r="E19" s="1" t="s">
        <v>171</v>
      </c>
    </row>
    <row r="20" spans="1:5" x14ac:dyDescent="0.55000000000000004">
      <c r="A20" s="1" t="s">
        <v>138</v>
      </c>
      <c r="B20" s="1" t="s">
        <v>118</v>
      </c>
      <c r="C20" s="1" t="s">
        <v>160</v>
      </c>
      <c r="D20" s="1">
        <v>19</v>
      </c>
      <c r="E20" s="1" t="s">
        <v>172</v>
      </c>
    </row>
    <row r="21" spans="1:5" x14ac:dyDescent="0.55000000000000004">
      <c r="A21" s="1" t="s">
        <v>139</v>
      </c>
      <c r="B21" s="1" t="s">
        <v>119</v>
      </c>
      <c r="C21" s="1" t="s">
        <v>161</v>
      </c>
      <c r="D21" s="1">
        <v>20</v>
      </c>
      <c r="E21" s="1" t="s">
        <v>172</v>
      </c>
    </row>
    <row r="22" spans="1:5" x14ac:dyDescent="0.55000000000000004">
      <c r="A22" s="1" t="s">
        <v>460</v>
      </c>
      <c r="B22" s="1" t="s">
        <v>461</v>
      </c>
      <c r="C22" s="1" t="s">
        <v>462</v>
      </c>
      <c r="D22" s="1">
        <v>21</v>
      </c>
      <c r="E22" s="1" t="s">
        <v>463</v>
      </c>
    </row>
    <row r="23" spans="1:5" x14ac:dyDescent="0.55000000000000004">
      <c r="A23" s="1" t="s">
        <v>466</v>
      </c>
      <c r="B23" s="1" t="s">
        <v>465</v>
      </c>
      <c r="C23" s="1" t="s">
        <v>464</v>
      </c>
      <c r="D23" s="1">
        <v>22</v>
      </c>
      <c r="E23" s="1" t="s">
        <v>463</v>
      </c>
    </row>
    <row r="24" spans="1:5" x14ac:dyDescent="0.55000000000000004">
      <c r="A24" s="1" t="s">
        <v>501</v>
      </c>
      <c r="B24" s="1" t="s">
        <v>503</v>
      </c>
      <c r="C24" s="1" t="s">
        <v>505</v>
      </c>
      <c r="D24" s="1">
        <v>23</v>
      </c>
      <c r="E24" s="1" t="s">
        <v>507</v>
      </c>
    </row>
    <row r="25" spans="1:5" x14ac:dyDescent="0.55000000000000004">
      <c r="A25" s="1" t="s">
        <v>502</v>
      </c>
      <c r="B25" s="1" t="s">
        <v>504</v>
      </c>
      <c r="C25" s="1" t="s">
        <v>506</v>
      </c>
      <c r="D25" s="1">
        <v>24</v>
      </c>
      <c r="E25" s="1" t="s">
        <v>507</v>
      </c>
    </row>
    <row r="66" s="2" customFormat="1" x14ac:dyDescent="0.55000000000000004"/>
  </sheetData>
  <sheetProtection algorithmName="SHA-512" hashValue="YG5NOvIO9jf08IcxCbi2sS3ESN/Gvqp210gcHxgJwbVCZjcj6XH/TN8nozG59saWM6C2mh/vhwteo1xw4FbUpg==" saltValue="BKlcJyZxkw3yOmti70agPw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0DC9E9-EE54-4201-859E-06E17397A4F5}">
  <sheetPr codeName="Sheet5"/>
  <dimension ref="A1:D81"/>
  <sheetViews>
    <sheetView workbookViewId="0">
      <selection activeCell="A28" sqref="A28"/>
    </sheetView>
  </sheetViews>
  <sheetFormatPr defaultRowHeight="18" x14ac:dyDescent="0.55000000000000004"/>
  <cols>
    <col min="1" max="1" width="14.5" style="1" customWidth="1"/>
    <col min="2" max="3" width="32.83203125" style="1" customWidth="1"/>
    <col min="4" max="4" width="12.6640625" style="1" customWidth="1"/>
    <col min="5" max="16384" width="8.6640625" style="1"/>
  </cols>
  <sheetData>
    <row r="1" spans="1:4" s="4" customFormat="1" x14ac:dyDescent="0.55000000000000004">
      <c r="A1" s="4" t="s">
        <v>325</v>
      </c>
      <c r="B1" s="4" t="s">
        <v>326</v>
      </c>
      <c r="C1" s="4" t="s">
        <v>327</v>
      </c>
      <c r="D1" s="4" t="s">
        <v>316</v>
      </c>
    </row>
    <row r="2" spans="1:4" x14ac:dyDescent="0.55000000000000004">
      <c r="A2" s="1" t="s">
        <v>328</v>
      </c>
      <c r="B2" s="1" t="s">
        <v>339</v>
      </c>
      <c r="C2" s="1" t="s">
        <v>348</v>
      </c>
      <c r="D2" s="1">
        <v>1</v>
      </c>
    </row>
    <row r="3" spans="1:4" x14ac:dyDescent="0.55000000000000004">
      <c r="A3" s="1" t="s">
        <v>329</v>
      </c>
      <c r="B3" s="1" t="s">
        <v>340</v>
      </c>
      <c r="C3" s="1" t="s">
        <v>340</v>
      </c>
      <c r="D3" s="1">
        <v>2</v>
      </c>
    </row>
    <row r="4" spans="1:4" x14ac:dyDescent="0.55000000000000004">
      <c r="A4" s="1" t="s">
        <v>330</v>
      </c>
      <c r="B4" s="1" t="s">
        <v>341</v>
      </c>
      <c r="C4" s="1" t="s">
        <v>341</v>
      </c>
      <c r="D4" s="1">
        <v>3</v>
      </c>
    </row>
    <row r="5" spans="1:4" x14ac:dyDescent="0.55000000000000004">
      <c r="A5" s="1" t="s">
        <v>331</v>
      </c>
      <c r="B5" s="1" t="s">
        <v>342</v>
      </c>
      <c r="C5" s="1" t="s">
        <v>349</v>
      </c>
      <c r="D5" s="1">
        <v>4</v>
      </c>
    </row>
    <row r="6" spans="1:4" x14ac:dyDescent="0.55000000000000004">
      <c r="A6" s="1" t="s">
        <v>332</v>
      </c>
      <c r="B6" s="1" t="s">
        <v>33</v>
      </c>
      <c r="C6" s="1" t="s">
        <v>33</v>
      </c>
      <c r="D6" s="1">
        <v>5</v>
      </c>
    </row>
    <row r="7" spans="1:4" x14ac:dyDescent="0.55000000000000004">
      <c r="A7" s="1" t="s">
        <v>333</v>
      </c>
      <c r="B7" s="1" t="s">
        <v>343</v>
      </c>
      <c r="C7" s="1" t="s">
        <v>343</v>
      </c>
      <c r="D7" s="1">
        <v>6</v>
      </c>
    </row>
    <row r="8" spans="1:4" x14ac:dyDescent="0.55000000000000004">
      <c r="A8" s="1" t="s">
        <v>334</v>
      </c>
      <c r="B8" s="1" t="s">
        <v>344</v>
      </c>
      <c r="C8" s="1" t="s">
        <v>350</v>
      </c>
      <c r="D8" s="1">
        <v>7</v>
      </c>
    </row>
    <row r="9" spans="1:4" x14ac:dyDescent="0.55000000000000004">
      <c r="A9" s="1" t="s">
        <v>336</v>
      </c>
      <c r="B9" s="1" t="s">
        <v>345</v>
      </c>
      <c r="C9" s="1" t="s">
        <v>345</v>
      </c>
      <c r="D9" s="1">
        <v>8</v>
      </c>
    </row>
    <row r="10" spans="1:4" x14ac:dyDescent="0.55000000000000004">
      <c r="A10" s="1" t="s">
        <v>337</v>
      </c>
      <c r="B10" s="1" t="s">
        <v>346</v>
      </c>
      <c r="C10" s="1" t="s">
        <v>346</v>
      </c>
      <c r="D10" s="1">
        <v>9</v>
      </c>
    </row>
    <row r="11" spans="1:4" x14ac:dyDescent="0.55000000000000004">
      <c r="A11" s="1" t="s">
        <v>338</v>
      </c>
      <c r="B11" s="1" t="s">
        <v>347</v>
      </c>
      <c r="C11" s="1" t="s">
        <v>347</v>
      </c>
      <c r="D11" s="1">
        <v>10</v>
      </c>
    </row>
    <row r="66" spans="1:4" s="2" customFormat="1" x14ac:dyDescent="0.55000000000000004">
      <c r="B66" s="3"/>
      <c r="C66" s="3"/>
      <c r="D66" s="1"/>
    </row>
    <row r="67" spans="1:4" x14ac:dyDescent="0.55000000000000004">
      <c r="A67" s="2"/>
      <c r="B67" s="2"/>
      <c r="C67" s="2"/>
    </row>
    <row r="68" spans="1:4" x14ac:dyDescent="0.55000000000000004">
      <c r="A68" s="2"/>
      <c r="B68" s="2"/>
      <c r="C68" s="2"/>
    </row>
    <row r="69" spans="1:4" x14ac:dyDescent="0.55000000000000004">
      <c r="A69" s="2"/>
      <c r="B69" s="2"/>
      <c r="C69" s="2"/>
    </row>
    <row r="70" spans="1:4" x14ac:dyDescent="0.55000000000000004">
      <c r="A70" s="2"/>
      <c r="B70" s="2"/>
      <c r="C70" s="2"/>
    </row>
    <row r="71" spans="1:4" x14ac:dyDescent="0.55000000000000004">
      <c r="A71" s="2"/>
      <c r="B71" s="2"/>
      <c r="C71" s="2"/>
    </row>
    <row r="72" spans="1:4" x14ac:dyDescent="0.55000000000000004">
      <c r="A72" s="2"/>
      <c r="B72" s="2"/>
      <c r="C72" s="2"/>
    </row>
    <row r="73" spans="1:4" x14ac:dyDescent="0.55000000000000004">
      <c r="A73" s="2"/>
      <c r="B73" s="2"/>
      <c r="C73" s="2"/>
    </row>
    <row r="74" spans="1:4" x14ac:dyDescent="0.55000000000000004">
      <c r="A74" s="2"/>
    </row>
    <row r="75" spans="1:4" x14ac:dyDescent="0.55000000000000004">
      <c r="A75" s="2"/>
    </row>
    <row r="76" spans="1:4" x14ac:dyDescent="0.55000000000000004">
      <c r="A76" s="2"/>
    </row>
    <row r="77" spans="1:4" x14ac:dyDescent="0.55000000000000004">
      <c r="A77" s="2"/>
    </row>
    <row r="78" spans="1:4" x14ac:dyDescent="0.55000000000000004">
      <c r="A78" s="2"/>
    </row>
    <row r="79" spans="1:4" x14ac:dyDescent="0.55000000000000004">
      <c r="A79" s="2"/>
    </row>
    <row r="80" spans="1:4" x14ac:dyDescent="0.55000000000000004">
      <c r="A80" s="2"/>
    </row>
    <row r="81" spans="1:1" x14ac:dyDescent="0.55000000000000004">
      <c r="A81" s="2"/>
    </row>
  </sheetData>
  <sheetProtection algorithmName="SHA-512" hashValue="Tcyo4IQKDJIW0LmS8K7sRz2aCzIQPUPOh1+l1+PMjnuycCQRrxLKLiJjWvCgy8KCINZPssJrgkGE3/J3N5BlfQ==" saltValue="8Mlxk/pkHnezJL8n97pHVA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00CBB-9C41-4A64-B9A8-3FC501ABB3AC}">
  <sheetPr codeName="Sheet2"/>
  <dimension ref="A1:C66"/>
  <sheetViews>
    <sheetView workbookViewId="0"/>
  </sheetViews>
  <sheetFormatPr defaultRowHeight="18" x14ac:dyDescent="0.55000000000000004"/>
  <cols>
    <col min="1" max="1" width="16.58203125" style="1" customWidth="1"/>
    <col min="2" max="2" width="19.25" style="1" customWidth="1"/>
    <col min="3" max="3" width="13.25" style="1" customWidth="1"/>
  </cols>
  <sheetData>
    <row r="1" spans="1:3" x14ac:dyDescent="0.55000000000000004">
      <c r="A1" s="4" t="s">
        <v>352</v>
      </c>
      <c r="B1" s="4" t="s">
        <v>366</v>
      </c>
      <c r="C1" s="4" t="s">
        <v>99</v>
      </c>
    </row>
    <row r="2" spans="1:3" x14ac:dyDescent="0.55000000000000004">
      <c r="A2" s="1" t="s">
        <v>353</v>
      </c>
      <c r="B2" s="1" t="s">
        <v>367</v>
      </c>
      <c r="C2" s="1">
        <v>1</v>
      </c>
    </row>
    <row r="3" spans="1:3" x14ac:dyDescent="0.55000000000000004">
      <c r="A3" s="1" t="s">
        <v>354</v>
      </c>
      <c r="B3" s="1" t="s">
        <v>368</v>
      </c>
      <c r="C3" s="1">
        <v>2</v>
      </c>
    </row>
    <row r="4" spans="1:3" x14ac:dyDescent="0.55000000000000004">
      <c r="A4" s="1" t="s">
        <v>355</v>
      </c>
      <c r="B4" s="1" t="s">
        <v>369</v>
      </c>
      <c r="C4" s="1">
        <v>3</v>
      </c>
    </row>
    <row r="5" spans="1:3" x14ac:dyDescent="0.55000000000000004">
      <c r="A5" s="1" t="s">
        <v>356</v>
      </c>
      <c r="B5" s="1" t="s">
        <v>370</v>
      </c>
      <c r="C5" s="1">
        <v>4</v>
      </c>
    </row>
    <row r="6" spans="1:3" x14ac:dyDescent="0.55000000000000004">
      <c r="A6" s="1" t="s">
        <v>166</v>
      </c>
      <c r="B6" s="1" t="s">
        <v>371</v>
      </c>
      <c r="C6" s="1">
        <v>5</v>
      </c>
    </row>
    <row r="7" spans="1:3" x14ac:dyDescent="0.55000000000000004">
      <c r="A7" s="1" t="s">
        <v>357</v>
      </c>
      <c r="B7" s="1" t="s">
        <v>372</v>
      </c>
      <c r="C7" s="1">
        <v>6</v>
      </c>
    </row>
    <row r="8" spans="1:3" x14ac:dyDescent="0.55000000000000004">
      <c r="A8" s="1" t="s">
        <v>358</v>
      </c>
      <c r="B8" s="1" t="s">
        <v>373</v>
      </c>
      <c r="C8" s="1">
        <v>7</v>
      </c>
    </row>
    <row r="9" spans="1:3" x14ac:dyDescent="0.55000000000000004">
      <c r="A9" s="1" t="s">
        <v>359</v>
      </c>
      <c r="B9" s="1" t="s">
        <v>374</v>
      </c>
      <c r="C9" s="1">
        <v>8</v>
      </c>
    </row>
    <row r="10" spans="1:3" x14ac:dyDescent="0.55000000000000004">
      <c r="A10" s="1" t="s">
        <v>164</v>
      </c>
      <c r="B10" s="1" t="s">
        <v>375</v>
      </c>
      <c r="C10" s="1">
        <v>9</v>
      </c>
    </row>
    <row r="11" spans="1:3" x14ac:dyDescent="0.55000000000000004">
      <c r="A11" s="1" t="s">
        <v>360</v>
      </c>
      <c r="B11" s="1" t="s">
        <v>376</v>
      </c>
      <c r="C11" s="1">
        <v>10</v>
      </c>
    </row>
    <row r="12" spans="1:3" x14ac:dyDescent="0.55000000000000004">
      <c r="A12" s="1" t="s">
        <v>361</v>
      </c>
      <c r="B12" s="1" t="s">
        <v>377</v>
      </c>
      <c r="C12" s="1">
        <v>11</v>
      </c>
    </row>
    <row r="13" spans="1:3" x14ac:dyDescent="0.55000000000000004">
      <c r="A13" s="1" t="s">
        <v>362</v>
      </c>
      <c r="B13" s="1" t="s">
        <v>378</v>
      </c>
      <c r="C13" s="1">
        <v>12</v>
      </c>
    </row>
    <row r="14" spans="1:3" x14ac:dyDescent="0.55000000000000004">
      <c r="A14" s="1" t="s">
        <v>363</v>
      </c>
      <c r="B14" s="1" t="s">
        <v>379</v>
      </c>
      <c r="C14" s="1">
        <v>13</v>
      </c>
    </row>
    <row r="15" spans="1:3" x14ac:dyDescent="0.55000000000000004">
      <c r="A15" s="1" t="s">
        <v>364</v>
      </c>
      <c r="B15" s="1" t="s">
        <v>380</v>
      </c>
      <c r="C15" s="1">
        <v>14</v>
      </c>
    </row>
    <row r="16" spans="1:3" x14ac:dyDescent="0.55000000000000004">
      <c r="A16" s="1" t="s">
        <v>365</v>
      </c>
      <c r="B16" s="1" t="s">
        <v>381</v>
      </c>
      <c r="C16" s="1">
        <v>15</v>
      </c>
    </row>
    <row r="17" spans="1:3" x14ac:dyDescent="0.55000000000000004">
      <c r="A17" s="1" t="s">
        <v>396</v>
      </c>
      <c r="B17" s="1" t="s">
        <v>397</v>
      </c>
      <c r="C17" s="1">
        <v>16</v>
      </c>
    </row>
    <row r="66" spans="1:3" x14ac:dyDescent="0.55000000000000004">
      <c r="A66" s="2"/>
      <c r="B66" s="2"/>
      <c r="C66" s="2"/>
    </row>
  </sheetData>
  <sheetProtection algorithmName="SHA-512" hashValue="+Ov60Ha8AJlYBk77w5fYW0VRo4gS7pIV0rBtXtd/NdzPGGjTugFVtX9oYNExbmOKOVj9BJdG6NDu5Mqq/vP9sg==" saltValue="W9suZtvv57/TFd9eJW4/iw==" spinCount="100000" sheet="1" objects="1" scenarios="1"/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0BBE3-793C-42E7-A1CB-BD1EC35C142B}">
  <sheetPr codeName="Sheet10"/>
  <dimension ref="A1:C66"/>
  <sheetViews>
    <sheetView workbookViewId="0"/>
  </sheetViews>
  <sheetFormatPr defaultRowHeight="18" x14ac:dyDescent="0.55000000000000004"/>
  <cols>
    <col min="1" max="1" width="16.58203125" style="1" customWidth="1"/>
    <col min="2" max="2" width="19.25" style="1" customWidth="1"/>
    <col min="3" max="3" width="13.25" style="1" customWidth="1"/>
  </cols>
  <sheetData>
    <row r="1" spans="1:3" x14ac:dyDescent="0.55000000000000004">
      <c r="A1" s="4" t="s">
        <v>398</v>
      </c>
      <c r="B1" s="4" t="s">
        <v>399</v>
      </c>
      <c r="C1" s="4" t="s">
        <v>99</v>
      </c>
    </row>
    <row r="2" spans="1:3" x14ac:dyDescent="0.55000000000000004">
      <c r="A2" s="1">
        <v>1</v>
      </c>
      <c r="B2" s="1" t="s">
        <v>400</v>
      </c>
      <c r="C2" s="1">
        <v>1</v>
      </c>
    </row>
    <row r="3" spans="1:3" x14ac:dyDescent="0.55000000000000004">
      <c r="A3" s="1">
        <v>2</v>
      </c>
      <c r="B3" s="1" t="s">
        <v>401</v>
      </c>
      <c r="C3" s="1">
        <v>2</v>
      </c>
    </row>
    <row r="4" spans="1:3" x14ac:dyDescent="0.55000000000000004">
      <c r="A4" s="1">
        <v>3</v>
      </c>
      <c r="B4" s="1" t="s">
        <v>402</v>
      </c>
      <c r="C4" s="1">
        <v>3</v>
      </c>
    </row>
    <row r="5" spans="1:3" x14ac:dyDescent="0.55000000000000004">
      <c r="A5" s="1">
        <v>4</v>
      </c>
      <c r="B5" s="1" t="s">
        <v>403</v>
      </c>
      <c r="C5" s="1">
        <v>4</v>
      </c>
    </row>
    <row r="6" spans="1:3" x14ac:dyDescent="0.55000000000000004">
      <c r="A6" s="1">
        <v>6</v>
      </c>
      <c r="B6" s="1" t="s">
        <v>404</v>
      </c>
      <c r="C6" s="1">
        <v>5</v>
      </c>
    </row>
    <row r="66" spans="1:3" x14ac:dyDescent="0.55000000000000004">
      <c r="A66" s="2"/>
      <c r="B66" s="2"/>
      <c r="C66" s="2"/>
    </row>
  </sheetData>
  <sheetProtection algorithmName="SHA-512" hashValue="vh/cf/GcBlh7dWotLwtEsB+uddRbd31cj7ZeT4s3jfBa/5+/rlgGG7N92VhxySTT7uyYEh4zlBO3s6ZVbeWLaQ==" saltValue="ZlfbAHGjQYEAI2CSN9YjrQ==" spinCount="100000" sheet="1" objects="1" scenarios="1"/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F291F-5253-452F-8E13-0C7A12415FA8}">
  <sheetPr codeName="Sheet3"/>
  <dimension ref="A1:C66"/>
  <sheetViews>
    <sheetView workbookViewId="0">
      <selection activeCell="C2" sqref="C2"/>
    </sheetView>
  </sheetViews>
  <sheetFormatPr defaultRowHeight="18" x14ac:dyDescent="0.55000000000000004"/>
  <cols>
    <col min="1" max="1" width="16.58203125" style="1" customWidth="1"/>
    <col min="2" max="2" width="19.25" style="1" customWidth="1"/>
    <col min="3" max="3" width="13.25" style="1" customWidth="1"/>
  </cols>
  <sheetData>
    <row r="1" spans="1:3" x14ac:dyDescent="0.55000000000000004">
      <c r="A1" s="4" t="s">
        <v>382</v>
      </c>
      <c r="B1" s="4" t="s">
        <v>383</v>
      </c>
      <c r="C1" s="4"/>
    </row>
    <row r="2" spans="1:3" x14ac:dyDescent="0.55000000000000004">
      <c r="A2" s="1">
        <v>1</v>
      </c>
      <c r="B2" s="1">
        <v>15</v>
      </c>
    </row>
    <row r="3" spans="1:3" x14ac:dyDescent="0.55000000000000004">
      <c r="A3" s="1">
        <v>2</v>
      </c>
      <c r="B3" s="1">
        <v>12</v>
      </c>
    </row>
    <row r="4" spans="1:3" x14ac:dyDescent="0.55000000000000004">
      <c r="A4" s="1">
        <v>3</v>
      </c>
      <c r="B4" s="1">
        <v>10</v>
      </c>
    </row>
    <row r="5" spans="1:3" x14ac:dyDescent="0.55000000000000004">
      <c r="A5" s="1">
        <v>4</v>
      </c>
      <c r="B5" s="1">
        <v>9</v>
      </c>
    </row>
    <row r="6" spans="1:3" x14ac:dyDescent="0.55000000000000004">
      <c r="A6" s="1">
        <v>5</v>
      </c>
      <c r="B6" s="1">
        <v>8</v>
      </c>
    </row>
    <row r="7" spans="1:3" x14ac:dyDescent="0.55000000000000004">
      <c r="A7" s="1">
        <v>6</v>
      </c>
      <c r="B7" s="1">
        <v>7</v>
      </c>
    </row>
    <row r="8" spans="1:3" x14ac:dyDescent="0.55000000000000004">
      <c r="A8" s="1">
        <v>7</v>
      </c>
      <c r="B8" s="1">
        <v>6</v>
      </c>
    </row>
    <row r="9" spans="1:3" x14ac:dyDescent="0.55000000000000004">
      <c r="A9" s="1">
        <v>8</v>
      </c>
      <c r="B9" s="1">
        <v>5</v>
      </c>
    </row>
    <row r="10" spans="1:3" x14ac:dyDescent="0.55000000000000004">
      <c r="A10" s="1">
        <v>9</v>
      </c>
      <c r="B10" s="1">
        <v>4</v>
      </c>
    </row>
    <row r="11" spans="1:3" x14ac:dyDescent="0.55000000000000004">
      <c r="A11" s="1">
        <v>10</v>
      </c>
      <c r="B11" s="1">
        <v>3</v>
      </c>
    </row>
    <row r="12" spans="1:3" x14ac:dyDescent="0.55000000000000004">
      <c r="A12" s="1">
        <v>11</v>
      </c>
      <c r="B12" s="1">
        <v>2</v>
      </c>
    </row>
    <row r="13" spans="1:3" x14ac:dyDescent="0.55000000000000004">
      <c r="A13" s="1">
        <v>12</v>
      </c>
      <c r="B13" s="1">
        <v>1</v>
      </c>
    </row>
    <row r="66" spans="1:3" x14ac:dyDescent="0.55000000000000004">
      <c r="A66" s="2"/>
      <c r="B66" s="2"/>
      <c r="C66" s="2"/>
    </row>
  </sheetData>
  <sheetProtection algorithmName="SHA-512" hashValue="btxNNB/Cxxv7AQ497FRrcRAmZNMOFrvowWxWprgAqtWIgo0Sgz9M6nLu7ezxj6XDskW9wlKOgW5Gyrdk/3WfcA==" saltValue="R3TTee0ipACucO14z8MC1g==" spinCount="100000" sheet="1" objects="1" scenarios="1"/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80F9E-F710-46C6-9368-3AC61AF7C0B2}">
  <sheetPr codeName="Sheet9"/>
  <dimension ref="A1:B13"/>
  <sheetViews>
    <sheetView workbookViewId="0"/>
  </sheetViews>
  <sheetFormatPr defaultRowHeight="18" x14ac:dyDescent="0.55000000000000004"/>
  <cols>
    <col min="1" max="1" width="15.83203125" customWidth="1"/>
    <col min="2" max="2" width="15.9140625" customWidth="1"/>
  </cols>
  <sheetData>
    <row r="1" spans="1:2" x14ac:dyDescent="0.55000000000000004">
      <c r="A1" s="4" t="s">
        <v>385</v>
      </c>
      <c r="B1" s="4" t="s">
        <v>386</v>
      </c>
    </row>
    <row r="2" spans="1:2" x14ac:dyDescent="0.55000000000000004">
      <c r="A2" s="1" t="s">
        <v>387</v>
      </c>
      <c r="B2" s="1" t="s">
        <v>389</v>
      </c>
    </row>
    <row r="3" spans="1:2" x14ac:dyDescent="0.55000000000000004">
      <c r="A3" s="1" t="s">
        <v>388</v>
      </c>
      <c r="B3" s="1" t="s">
        <v>390</v>
      </c>
    </row>
    <row r="4" spans="1:2" x14ac:dyDescent="0.55000000000000004">
      <c r="A4" s="1"/>
      <c r="B4" s="1"/>
    </row>
    <row r="5" spans="1:2" x14ac:dyDescent="0.55000000000000004">
      <c r="A5" s="1"/>
      <c r="B5" s="1"/>
    </row>
    <row r="6" spans="1:2" x14ac:dyDescent="0.55000000000000004">
      <c r="A6" s="1"/>
      <c r="B6" s="1"/>
    </row>
    <row r="7" spans="1:2" x14ac:dyDescent="0.55000000000000004">
      <c r="A7" s="1"/>
      <c r="B7" s="1"/>
    </row>
    <row r="8" spans="1:2" x14ac:dyDescent="0.55000000000000004">
      <c r="A8" s="1"/>
      <c r="B8" s="1"/>
    </row>
    <row r="9" spans="1:2" x14ac:dyDescent="0.55000000000000004">
      <c r="A9" s="1"/>
      <c r="B9" s="1"/>
    </row>
    <row r="10" spans="1:2" x14ac:dyDescent="0.55000000000000004">
      <c r="A10" s="1"/>
      <c r="B10" s="1"/>
    </row>
    <row r="11" spans="1:2" x14ac:dyDescent="0.55000000000000004">
      <c r="A11" s="1"/>
      <c r="B11" s="1"/>
    </row>
    <row r="12" spans="1:2" x14ac:dyDescent="0.55000000000000004">
      <c r="A12" s="1"/>
      <c r="B12" s="1"/>
    </row>
    <row r="13" spans="1:2" x14ac:dyDescent="0.55000000000000004">
      <c r="A13" s="1"/>
      <c r="B13" s="1"/>
    </row>
  </sheetData>
  <sheetProtection algorithmName="SHA-512" hashValue="f95Sxh3TPXQzonx2HWyBeGDnC8rAaF1ZPC+Ehbm+GC64AsbKEjYl1my5MnB5tCoXcSGNVBLDvPMJmUsUFw0dcQ==" saltValue="j62HOqJcCjYWrAyr8pWBsg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RegistData</vt:lpstr>
      <vt:lpstr>Graph</vt:lpstr>
      <vt:lpstr>Data</vt:lpstr>
      <vt:lpstr>Settings</vt:lpstr>
      <vt:lpstr>Storage</vt:lpstr>
      <vt:lpstr>TrackMaster</vt:lpstr>
      <vt:lpstr>CupMaster</vt:lpstr>
      <vt:lpstr>VersionMaster</vt:lpstr>
      <vt:lpstr>LoungeTierMaster</vt:lpstr>
      <vt:lpstr>FormatMaster</vt:lpstr>
      <vt:lpstr>PointMaster</vt:lpstr>
      <vt:lpstr>LanguageMaster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臼井佑太郎</dc:creator>
  <cp:lastModifiedBy>佑太郎 臼井</cp:lastModifiedBy>
  <dcterms:created xsi:type="dcterms:W3CDTF">2022-07-02T07:52:08Z</dcterms:created>
  <dcterms:modified xsi:type="dcterms:W3CDTF">2024-01-28T13:16:45Z</dcterms:modified>
</cp:coreProperties>
</file>