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3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yuora\Documents\work-space\vba\mk8dx_track_db_2\"/>
    </mc:Choice>
  </mc:AlternateContent>
  <xr:revisionPtr revIDLastSave="0" documentId="13_ncr:1_{ABA4C915-5F0E-4B60-8293-582CDC871875}" xr6:coauthVersionLast="47" xr6:coauthVersionMax="47" xr10:uidLastSave="{00000000-0000-0000-0000-000000000000}"/>
  <workbookProtection workbookAlgorithmName="SHA-512" workbookHashValue="Qsse7VG35LA+mkgO7IkEIAfXcYj2PRgDA7MPoXixYxWPmwBRTP/xRxwOw87N9m8ppriu8c/iRflC9cBi3Pr6Lg==" workbookSaltValue="sc3tnr3Cq/tj1LOO3S34rQ==" workbookSpinCount="100000" lockStructure="1"/>
  <bookViews>
    <workbookView xWindow="-110" yWindow="-110" windowWidth="22780" windowHeight="14660" tabRatio="862" activeTab="2" xr2:uid="{4A114984-3AD0-403E-88C9-B88E276066BE}"/>
  </bookViews>
  <sheets>
    <sheet name="RegistData" sheetId="11" r:id="rId1"/>
    <sheet name="Graph" sheetId="19" r:id="rId2"/>
    <sheet name="Data" sheetId="17" r:id="rId3"/>
    <sheet name="Settings" sheetId="13" r:id="rId4"/>
    <sheet name="Storage" sheetId="12" r:id="rId5"/>
    <sheet name="TrackMaster" sheetId="4" r:id="rId6"/>
    <sheet name="CupMaster" sheetId="6" r:id="rId7"/>
    <sheet name="VersionMaster" sheetId="8" r:id="rId8"/>
    <sheet name="LoungeTierMaster" sheetId="9" r:id="rId9"/>
    <sheet name="FormatMaster" sheetId="16" r:id="rId10"/>
    <sheet name="PointMaster" sheetId="10" r:id="rId11"/>
    <sheet name="LanguageMaster" sheetId="14" r:id="rId12"/>
  </sheets>
  <functionGroups builtInGroupCount="19"/>
  <calcPr calcId="181029"/>
  <pivotCaches>
    <pivotCache cacheId="1" r:id="rId13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13" l="1"/>
  <c r="E7" i="11"/>
  <c r="E8" i="11"/>
  <c r="E9" i="11"/>
  <c r="E10" i="11"/>
  <c r="E11" i="11"/>
  <c r="E12" i="11"/>
  <c r="E13" i="11"/>
  <c r="E14" i="11"/>
  <c r="E15" i="11"/>
  <c r="E16" i="11"/>
  <c r="E17" i="11"/>
  <c r="E6" i="11"/>
  <c r="C18" i="11" l="1"/>
</calcChain>
</file>

<file path=xl/sharedStrings.xml><?xml version="1.0" encoding="utf-8"?>
<sst xmlns="http://schemas.openxmlformats.org/spreadsheetml/2006/main" count="819" uniqueCount="442">
  <si>
    <t>マリオカートスタジアム</t>
    <phoneticPr fontId="1"/>
  </si>
  <si>
    <t>ウォーターパーク</t>
    <phoneticPr fontId="1"/>
  </si>
  <si>
    <t>スイーツキャニオン</t>
    <phoneticPr fontId="1"/>
  </si>
  <si>
    <t>ドッスンいせき</t>
    <phoneticPr fontId="1"/>
  </si>
  <si>
    <t>マリオサーキット</t>
    <phoneticPr fontId="1"/>
  </si>
  <si>
    <t>キノピオハーバー</t>
    <phoneticPr fontId="1"/>
  </si>
  <si>
    <t>ねじれマンション</t>
  </si>
  <si>
    <t>ヘイホーこうざん</t>
    <phoneticPr fontId="1"/>
  </si>
  <si>
    <t>ドルフィンみさき</t>
    <phoneticPr fontId="1"/>
  </si>
  <si>
    <t>エレクトロドリーム</t>
    <phoneticPr fontId="1"/>
  </si>
  <si>
    <t>ワリオスノーマウンテン</t>
    <phoneticPr fontId="1"/>
  </si>
  <si>
    <t>スカイガーデン</t>
    <phoneticPr fontId="1"/>
  </si>
  <si>
    <t>ホネホネさばく</t>
    <phoneticPr fontId="1"/>
  </si>
  <si>
    <t>クッパキャッスル</t>
    <phoneticPr fontId="1"/>
  </si>
  <si>
    <t>レインボーロード</t>
    <phoneticPr fontId="1"/>
  </si>
  <si>
    <t>エキサイトバイク</t>
    <phoneticPr fontId="1"/>
  </si>
  <si>
    <t>ドラゴンロード</t>
    <phoneticPr fontId="1"/>
  </si>
  <si>
    <t>ミュートシティ</t>
    <phoneticPr fontId="1"/>
  </si>
  <si>
    <t>ネイチャーロード</t>
    <phoneticPr fontId="1"/>
  </si>
  <si>
    <t>どうぶつの森</t>
    <phoneticPr fontId="1"/>
  </si>
  <si>
    <t>ツルツルツイスター</t>
    <phoneticPr fontId="1"/>
  </si>
  <si>
    <t>ハイラルサーキット</t>
    <phoneticPr fontId="1"/>
  </si>
  <si>
    <t>リンリンメトロ</t>
    <phoneticPr fontId="1"/>
  </si>
  <si>
    <t>ビッグブルー</t>
    <phoneticPr fontId="1"/>
  </si>
  <si>
    <t>MKS</t>
    <phoneticPr fontId="1"/>
  </si>
  <si>
    <t>WP</t>
    <phoneticPr fontId="1"/>
  </si>
  <si>
    <t>SSC</t>
    <phoneticPr fontId="1"/>
  </si>
  <si>
    <t>TR</t>
    <phoneticPr fontId="1"/>
  </si>
  <si>
    <t>MC</t>
    <phoneticPr fontId="1"/>
  </si>
  <si>
    <t>TH</t>
    <phoneticPr fontId="1"/>
  </si>
  <si>
    <t>TM</t>
    <phoneticPr fontId="1"/>
  </si>
  <si>
    <t>SGF</t>
    <phoneticPr fontId="1"/>
  </si>
  <si>
    <t>SA</t>
    <phoneticPr fontId="1"/>
  </si>
  <si>
    <t>DS</t>
    <phoneticPr fontId="1"/>
  </si>
  <si>
    <t>Ed</t>
    <phoneticPr fontId="1"/>
  </si>
  <si>
    <t>MW</t>
    <phoneticPr fontId="1"/>
  </si>
  <si>
    <t>CC</t>
    <phoneticPr fontId="1"/>
  </si>
  <si>
    <t>BDD</t>
    <phoneticPr fontId="1"/>
  </si>
  <si>
    <t>BC</t>
    <phoneticPr fontId="1"/>
  </si>
  <si>
    <t>RR</t>
    <phoneticPr fontId="1"/>
  </si>
  <si>
    <t>rMMM</t>
    <phoneticPr fontId="1"/>
  </si>
  <si>
    <t>rMC</t>
    <phoneticPr fontId="1"/>
  </si>
  <si>
    <t>rCCB</t>
    <phoneticPr fontId="1"/>
  </si>
  <si>
    <t>rTT</t>
    <phoneticPr fontId="1"/>
  </si>
  <si>
    <t>rDDD</t>
    <phoneticPr fontId="1"/>
  </si>
  <si>
    <t>rDP3</t>
    <phoneticPr fontId="1"/>
  </si>
  <si>
    <t>rRRy</t>
    <phoneticPr fontId="1"/>
  </si>
  <si>
    <t>rDKJ</t>
    <phoneticPr fontId="1"/>
  </si>
  <si>
    <t>rWS</t>
    <phoneticPr fontId="1"/>
  </si>
  <si>
    <t>rSL</t>
    <phoneticPr fontId="1"/>
  </si>
  <si>
    <t>rMP</t>
    <phoneticPr fontId="1"/>
  </si>
  <si>
    <t>rYV</t>
    <phoneticPr fontId="1"/>
  </si>
  <si>
    <t>rTTC</t>
    <phoneticPr fontId="1"/>
  </si>
  <si>
    <t>rPPS</t>
    <phoneticPr fontId="1"/>
  </si>
  <si>
    <t>rGV</t>
    <phoneticPr fontId="1"/>
  </si>
  <si>
    <t>rRRd</t>
    <phoneticPr fontId="1"/>
  </si>
  <si>
    <t>dYC</t>
    <phoneticPr fontId="1"/>
  </si>
  <si>
    <t>dEA</t>
    <phoneticPr fontId="1"/>
  </si>
  <si>
    <t>dDD</t>
    <phoneticPr fontId="1"/>
  </si>
  <si>
    <t>dMC</t>
    <phoneticPr fontId="1"/>
  </si>
  <si>
    <t>dWGM</t>
    <phoneticPr fontId="1"/>
  </si>
  <si>
    <t>dRR</t>
    <phoneticPr fontId="1"/>
  </si>
  <si>
    <t>dBP</t>
    <phoneticPr fontId="1"/>
  </si>
  <si>
    <t>dCL</t>
    <phoneticPr fontId="1"/>
  </si>
  <si>
    <t>dWW</t>
    <phoneticPr fontId="1"/>
  </si>
  <si>
    <t>dAC</t>
    <phoneticPr fontId="1"/>
  </si>
  <si>
    <t>dIIO</t>
    <phoneticPr fontId="1"/>
  </si>
  <si>
    <t>dHC</t>
    <phoneticPr fontId="1"/>
  </si>
  <si>
    <t>dNBC</t>
    <phoneticPr fontId="1"/>
  </si>
  <si>
    <t>dRiR</t>
    <phoneticPr fontId="1"/>
  </si>
  <si>
    <t>dSBS</t>
    <phoneticPr fontId="1"/>
  </si>
  <si>
    <t>dBB</t>
    <phoneticPr fontId="1"/>
  </si>
  <si>
    <t>bPP</t>
    <phoneticPr fontId="1"/>
  </si>
  <si>
    <t>bTC</t>
  </si>
  <si>
    <t>bTB</t>
    <phoneticPr fontId="1"/>
  </si>
  <si>
    <t>bCMo</t>
    <phoneticPr fontId="1"/>
  </si>
  <si>
    <t>bCMa</t>
    <phoneticPr fontId="1"/>
  </si>
  <si>
    <t>bSR</t>
    <phoneticPr fontId="1"/>
  </si>
  <si>
    <t>bSG</t>
    <phoneticPr fontId="1"/>
  </si>
  <si>
    <t>bNH</t>
    <phoneticPr fontId="1"/>
  </si>
  <si>
    <t>アイスビルディング</t>
    <phoneticPr fontId="1"/>
  </si>
  <si>
    <t>bKD</t>
    <phoneticPr fontId="1"/>
  </si>
  <si>
    <t>bMC3</t>
    <phoneticPr fontId="1"/>
  </si>
  <si>
    <t>bMG</t>
    <phoneticPr fontId="1"/>
  </si>
  <si>
    <t>bNYM</t>
    <phoneticPr fontId="1"/>
  </si>
  <si>
    <t>bWP</t>
    <phoneticPr fontId="1"/>
  </si>
  <si>
    <t>bSS</t>
    <phoneticPr fontId="1"/>
  </si>
  <si>
    <t>bSL</t>
    <phoneticPr fontId="1"/>
  </si>
  <si>
    <t>bSHS</t>
    <phoneticPr fontId="1"/>
  </si>
  <si>
    <t>bLL</t>
  </si>
  <si>
    <t>bBL</t>
  </si>
  <si>
    <t>bRRM</t>
  </si>
  <si>
    <t>bMT</t>
  </si>
  <si>
    <t>bBB</t>
  </si>
  <si>
    <t>bPG</t>
  </si>
  <si>
    <t>bMM</t>
  </si>
  <si>
    <t>bRR7</t>
  </si>
  <si>
    <t>trackKey</t>
    <phoneticPr fontId="1"/>
  </si>
  <si>
    <t>cupKey</t>
    <phoneticPr fontId="1"/>
  </si>
  <si>
    <t>displayOrder</t>
    <phoneticPr fontId="1"/>
  </si>
  <si>
    <t>キノコカップ</t>
    <phoneticPr fontId="1"/>
  </si>
  <si>
    <t>フラワーカップ</t>
    <phoneticPr fontId="1"/>
  </si>
  <si>
    <t>スターカップ</t>
    <phoneticPr fontId="1"/>
  </si>
  <si>
    <t>スペシャルカップ</t>
    <phoneticPr fontId="1"/>
  </si>
  <si>
    <t>こうらカップ</t>
    <phoneticPr fontId="1"/>
  </si>
  <si>
    <t>バナナカップ</t>
    <phoneticPr fontId="1"/>
  </si>
  <si>
    <t>このはカップ</t>
    <phoneticPr fontId="1"/>
  </si>
  <si>
    <t>サンダーカップ</t>
    <phoneticPr fontId="1"/>
  </si>
  <si>
    <t>たまごカップ</t>
    <phoneticPr fontId="1"/>
  </si>
  <si>
    <t>ゼルダカップ</t>
    <phoneticPr fontId="1"/>
  </si>
  <si>
    <t>どうぶつカップ</t>
    <phoneticPr fontId="1"/>
  </si>
  <si>
    <t>ベルカップ</t>
    <phoneticPr fontId="1"/>
  </si>
  <si>
    <t>パワフルカップ</t>
    <phoneticPr fontId="1"/>
  </si>
  <si>
    <t>まねきネコカップ</t>
    <phoneticPr fontId="1"/>
  </si>
  <si>
    <t>カブカップ</t>
    <phoneticPr fontId="1"/>
  </si>
  <si>
    <t>プロペラカップ</t>
    <phoneticPr fontId="1"/>
  </si>
  <si>
    <t>ゴロいわカップ</t>
    <phoneticPr fontId="1"/>
  </si>
  <si>
    <t>ムーンカップ</t>
    <phoneticPr fontId="1"/>
  </si>
  <si>
    <t>フルーツカップ</t>
    <phoneticPr fontId="1"/>
  </si>
  <si>
    <t>ブーメランカップ</t>
    <phoneticPr fontId="1"/>
  </si>
  <si>
    <t>flower</t>
    <phoneticPr fontId="1"/>
  </si>
  <si>
    <t>star</t>
    <phoneticPr fontId="1"/>
  </si>
  <si>
    <t>special</t>
    <phoneticPr fontId="1"/>
  </si>
  <si>
    <t>shell</t>
    <phoneticPr fontId="1"/>
  </si>
  <si>
    <t>banana</t>
    <phoneticPr fontId="1"/>
  </si>
  <si>
    <t>leaf</t>
    <phoneticPr fontId="1"/>
  </si>
  <si>
    <t>mushroom</t>
    <phoneticPr fontId="1"/>
  </si>
  <si>
    <t>lightning</t>
    <phoneticPr fontId="1"/>
  </si>
  <si>
    <t>egg</t>
    <phoneticPr fontId="1"/>
  </si>
  <si>
    <t>triforce</t>
    <phoneticPr fontId="1"/>
  </si>
  <si>
    <t>crossing</t>
    <phoneticPr fontId="1"/>
  </si>
  <si>
    <t>bell</t>
    <phoneticPr fontId="1"/>
  </si>
  <si>
    <t>golden-dash</t>
    <phoneticPr fontId="1"/>
  </si>
  <si>
    <t>lucky-cat</t>
    <phoneticPr fontId="1"/>
  </si>
  <si>
    <t>turnip</t>
    <phoneticPr fontId="1"/>
  </si>
  <si>
    <t>propeller</t>
    <phoneticPr fontId="1"/>
  </si>
  <si>
    <t>rock</t>
    <phoneticPr fontId="1"/>
  </si>
  <si>
    <t>moon</t>
    <phoneticPr fontId="1"/>
  </si>
  <si>
    <t>fruit</t>
    <phoneticPr fontId="1"/>
  </si>
  <si>
    <t>boomerang</t>
    <phoneticPr fontId="1"/>
  </si>
  <si>
    <t>cupNameJp</t>
    <phoneticPr fontId="1"/>
  </si>
  <si>
    <t>cupNameEn</t>
    <phoneticPr fontId="1"/>
  </si>
  <si>
    <t>Mushroom Cup</t>
    <phoneticPr fontId="1"/>
  </si>
  <si>
    <t>Flower Cup</t>
    <phoneticPr fontId="1"/>
  </si>
  <si>
    <t>Star Cup</t>
    <phoneticPr fontId="1"/>
  </si>
  <si>
    <t>Shell Cup</t>
    <phoneticPr fontId="1"/>
  </si>
  <si>
    <t>Special Cup</t>
    <phoneticPr fontId="1"/>
  </si>
  <si>
    <t>Banana Cup</t>
    <phoneticPr fontId="1"/>
  </si>
  <si>
    <t>Leaf Cup</t>
    <phoneticPr fontId="1"/>
  </si>
  <si>
    <t>Lightning Cup</t>
    <phoneticPr fontId="1"/>
  </si>
  <si>
    <t>Egg Cup</t>
    <phoneticPr fontId="1"/>
  </si>
  <si>
    <t>Triforce Cup</t>
    <phoneticPr fontId="1"/>
  </si>
  <si>
    <t>Crossing Cup</t>
    <phoneticPr fontId="1"/>
  </si>
  <si>
    <t>Bell Cup</t>
    <phoneticPr fontId="1"/>
  </si>
  <si>
    <t>Golden Dash Cup</t>
    <phoneticPr fontId="1"/>
  </si>
  <si>
    <t>Lucky Cat Cup</t>
    <phoneticPr fontId="1"/>
  </si>
  <si>
    <t>Turnip Cup</t>
    <phoneticPr fontId="1"/>
  </si>
  <si>
    <t>Propeller Cup</t>
    <phoneticPr fontId="1"/>
  </si>
  <si>
    <t>Rock Cup</t>
    <phoneticPr fontId="1"/>
  </si>
  <si>
    <t>Moon Cup</t>
    <phoneticPr fontId="1"/>
  </si>
  <si>
    <t>Fruit Cup</t>
    <phoneticPr fontId="1"/>
  </si>
  <si>
    <t>Boomerang Cup</t>
    <phoneticPr fontId="1"/>
  </si>
  <si>
    <t>trackKind</t>
    <phoneticPr fontId="1"/>
  </si>
  <si>
    <t>n</t>
    <phoneticPr fontId="1"/>
  </si>
  <si>
    <t>d</t>
    <phoneticPr fontId="1"/>
  </si>
  <si>
    <t>r</t>
    <phoneticPr fontId="1"/>
  </si>
  <si>
    <t>b</t>
    <phoneticPr fontId="1"/>
  </si>
  <si>
    <t>d1</t>
    <phoneticPr fontId="1"/>
  </si>
  <si>
    <t>d2</t>
    <phoneticPr fontId="1"/>
  </si>
  <si>
    <t>b1</t>
    <phoneticPr fontId="1"/>
  </si>
  <si>
    <t>b2</t>
    <phoneticPr fontId="1"/>
  </si>
  <si>
    <t>b3</t>
    <phoneticPr fontId="1"/>
  </si>
  <si>
    <t>b4</t>
    <phoneticPr fontId="1"/>
  </si>
  <si>
    <t>サンシャインくうこう</t>
    <phoneticPr fontId="1"/>
  </si>
  <si>
    <t>Wii モーモーカントリー</t>
    <phoneticPr fontId="1"/>
  </si>
  <si>
    <t>GBA マリオサーキット</t>
    <phoneticPr fontId="1"/>
  </si>
  <si>
    <t>DS プクプクビーチ</t>
    <phoneticPr fontId="1"/>
  </si>
  <si>
    <t>N64 キノピオハイウェイ</t>
    <phoneticPr fontId="1"/>
  </si>
  <si>
    <t>GC カラカラさばく</t>
    <phoneticPr fontId="1"/>
  </si>
  <si>
    <t>SFC ドーナツへいや3</t>
    <phoneticPr fontId="1"/>
  </si>
  <si>
    <t>N64 ピーチサーキット</t>
    <phoneticPr fontId="1"/>
  </si>
  <si>
    <t>3DS DKジャングル</t>
    <phoneticPr fontId="1"/>
  </si>
  <si>
    <t>DS ワリオスタジアム</t>
    <phoneticPr fontId="1"/>
  </si>
  <si>
    <t>GC シャーベットランド</t>
    <phoneticPr fontId="1"/>
  </si>
  <si>
    <t>3DS ミュージックパーク</t>
    <phoneticPr fontId="1"/>
  </si>
  <si>
    <t>N64 ヨッシーバレー</t>
    <phoneticPr fontId="1"/>
  </si>
  <si>
    <t>DS チクタクロック</t>
    <phoneticPr fontId="1"/>
  </si>
  <si>
    <t>3DS パックンスライダー</t>
    <phoneticPr fontId="1"/>
  </si>
  <si>
    <t>Wii グラグラかざん</t>
    <phoneticPr fontId="1"/>
  </si>
  <si>
    <t>N64 レインボーロード</t>
    <phoneticPr fontId="1"/>
  </si>
  <si>
    <t>GC ヨッシーサーキット</t>
    <phoneticPr fontId="1"/>
  </si>
  <si>
    <t>Wii ワリオこうざん</t>
    <phoneticPr fontId="1"/>
  </si>
  <si>
    <t>SFC レインボーロード</t>
    <phoneticPr fontId="1"/>
  </si>
  <si>
    <t>GC ベビィパーク</t>
    <phoneticPr fontId="1"/>
  </si>
  <si>
    <t>GBA チーズランド</t>
    <phoneticPr fontId="1"/>
  </si>
  <si>
    <t>3DS ネオクッパシティ</t>
    <phoneticPr fontId="1"/>
  </si>
  <si>
    <t>GBA リボンロード</t>
    <phoneticPr fontId="1"/>
  </si>
  <si>
    <t>3DS キノピオサーキット</t>
    <phoneticPr fontId="1"/>
  </si>
  <si>
    <t>N64 チョコマウンテン</t>
    <phoneticPr fontId="1"/>
  </si>
  <si>
    <t>Wii ココナッツモール</t>
    <phoneticPr fontId="1"/>
  </si>
  <si>
    <t>Tour トーキョースクランブル</t>
    <phoneticPr fontId="1"/>
  </si>
  <si>
    <t>DS キノコリッジウェイ</t>
    <phoneticPr fontId="1"/>
  </si>
  <si>
    <t>GBA スカイガーデン</t>
    <phoneticPr fontId="1"/>
  </si>
  <si>
    <t>Tour ニンニンドージョー</t>
    <phoneticPr fontId="1"/>
  </si>
  <si>
    <t>Tour ニューヨークドリーム</t>
    <phoneticPr fontId="1"/>
  </si>
  <si>
    <t>SFC マリオサーキット3</t>
    <phoneticPr fontId="1"/>
  </si>
  <si>
    <t>N64 カラカラさばく</t>
    <phoneticPr fontId="1"/>
  </si>
  <si>
    <t>DS ワルイージピンボール</t>
    <phoneticPr fontId="1"/>
  </si>
  <si>
    <t>Tour シドニーサンシャイン</t>
    <phoneticPr fontId="1"/>
  </si>
  <si>
    <t>GBA スノーランド</t>
    <phoneticPr fontId="1"/>
  </si>
  <si>
    <t>Wii キノコキャニオン</t>
    <phoneticPr fontId="1"/>
  </si>
  <si>
    <t>Tour ロンドンアベニュー</t>
    <phoneticPr fontId="1"/>
  </si>
  <si>
    <t>GBA テレサレイク</t>
    <phoneticPr fontId="1"/>
  </si>
  <si>
    <t>3DS ロックロックマウンテン</t>
    <phoneticPr fontId="1"/>
  </si>
  <si>
    <t>Wii メイプルツリーハウス</t>
    <phoneticPr fontId="1"/>
  </si>
  <si>
    <t>Tour ベルリンシュトラーセ</t>
    <phoneticPr fontId="1"/>
  </si>
  <si>
    <t>DS ピーチガーデン</t>
    <phoneticPr fontId="1"/>
  </si>
  <si>
    <t>Tour メリーメリーマウンテン</t>
    <phoneticPr fontId="1"/>
  </si>
  <si>
    <t>3DS レインボーロード</t>
    <phoneticPr fontId="1"/>
  </si>
  <si>
    <t>Tour アムステルダムブルーム</t>
    <phoneticPr fontId="1"/>
  </si>
  <si>
    <t>GBA リバーサイドパーク</t>
    <phoneticPr fontId="1"/>
  </si>
  <si>
    <t>Wii DKスノーボードクロス</t>
    <phoneticPr fontId="1"/>
  </si>
  <si>
    <t>ヨッシーアイランド</t>
    <phoneticPr fontId="1"/>
  </si>
  <si>
    <t>Tour バンコクラッシュ</t>
    <phoneticPr fontId="1"/>
  </si>
  <si>
    <t>GC ワルイージスタジアム</t>
    <phoneticPr fontId="1"/>
  </si>
  <si>
    <t>Tour シンガポールスプラッシュ</t>
    <phoneticPr fontId="1"/>
  </si>
  <si>
    <t>trackNameJp</t>
    <phoneticPr fontId="1"/>
  </si>
  <si>
    <t>trackNameEn</t>
    <phoneticPr fontId="1"/>
  </si>
  <si>
    <t>Mario Kart Stadium</t>
    <phoneticPr fontId="1"/>
  </si>
  <si>
    <t>Water Park</t>
    <phoneticPr fontId="1"/>
  </si>
  <si>
    <t>Sweet Sweet Canyon</t>
    <phoneticPr fontId="1"/>
  </si>
  <si>
    <t>Thwomp Ruins</t>
    <phoneticPr fontId="1"/>
  </si>
  <si>
    <t>Mario Circuit</t>
    <phoneticPr fontId="1"/>
  </si>
  <si>
    <t>Toad Harbor</t>
    <phoneticPr fontId="1"/>
  </si>
  <si>
    <t>Twisted Mansion</t>
    <phoneticPr fontId="1"/>
  </si>
  <si>
    <t>Shy Guy Falls</t>
    <phoneticPr fontId="1"/>
  </si>
  <si>
    <t>Sunshine Airport</t>
    <phoneticPr fontId="1"/>
  </si>
  <si>
    <t>Dolphin Shoals</t>
    <phoneticPr fontId="1"/>
  </si>
  <si>
    <t>Electrodrome</t>
    <phoneticPr fontId="1"/>
  </si>
  <si>
    <t>Mount Wario</t>
    <phoneticPr fontId="1"/>
  </si>
  <si>
    <t>Cloudtop Cruise</t>
    <phoneticPr fontId="1"/>
  </si>
  <si>
    <t>Bone Dry Dunes</t>
    <phoneticPr fontId="1"/>
  </si>
  <si>
    <t>Bowser's Castle</t>
    <phoneticPr fontId="1"/>
  </si>
  <si>
    <t>Rainbow Road</t>
    <phoneticPr fontId="1"/>
  </si>
  <si>
    <t>Wii Moo Moo Meadows</t>
    <phoneticPr fontId="1"/>
  </si>
  <si>
    <t>GBA Mario Circuit</t>
    <phoneticPr fontId="1"/>
  </si>
  <si>
    <t>DS Cheap Cheap Beach</t>
    <phoneticPr fontId="1"/>
  </si>
  <si>
    <t>N64 Toad's Turnpike</t>
    <phoneticPr fontId="1"/>
  </si>
  <si>
    <t>GCN Dry Dry Desert</t>
    <phoneticPr fontId="1"/>
  </si>
  <si>
    <t>SNES Donut Plains 3</t>
    <phoneticPr fontId="1"/>
  </si>
  <si>
    <t>N64 Royal Raceway</t>
    <phoneticPr fontId="1"/>
  </si>
  <si>
    <t>3DS DK Jungle</t>
    <phoneticPr fontId="1"/>
  </si>
  <si>
    <t>DS Wario Stadium</t>
    <phoneticPr fontId="1"/>
  </si>
  <si>
    <t>GCN Sherbet Land</t>
    <phoneticPr fontId="1"/>
  </si>
  <si>
    <t>3DS Music Park</t>
    <phoneticPr fontId="1"/>
  </si>
  <si>
    <t>N64 Yoshi Valley</t>
    <phoneticPr fontId="1"/>
  </si>
  <si>
    <t>DS Tick Tock Clock</t>
    <phoneticPr fontId="1"/>
  </si>
  <si>
    <t>3DS Piranha Plant Slide</t>
    <phoneticPr fontId="1"/>
  </si>
  <si>
    <t>Wii Grumble Volcano</t>
    <phoneticPr fontId="1"/>
  </si>
  <si>
    <t>N64 Rainbow Road</t>
    <phoneticPr fontId="1"/>
  </si>
  <si>
    <t>GCN Yoshi's Circuit</t>
    <phoneticPr fontId="1"/>
  </si>
  <si>
    <t>Excitebike Arena</t>
    <phoneticPr fontId="1"/>
  </si>
  <si>
    <t>Dragon Driftway</t>
    <phoneticPr fontId="1"/>
  </si>
  <si>
    <t>Mute City</t>
    <phoneticPr fontId="1"/>
  </si>
  <si>
    <t>Wii Wario's Gold Mine</t>
    <phoneticPr fontId="1"/>
  </si>
  <si>
    <t>SNES Rainbow Road</t>
    <phoneticPr fontId="1"/>
  </si>
  <si>
    <t>Ice Ice Outpost</t>
    <phoneticPr fontId="1"/>
  </si>
  <si>
    <t>Hyrule Circuit</t>
    <phoneticPr fontId="1"/>
  </si>
  <si>
    <t>GCN Baby Park</t>
    <phoneticPr fontId="1"/>
  </si>
  <si>
    <t>GBA Cheese Land</t>
    <phoneticPr fontId="1"/>
  </si>
  <si>
    <t>Wild Woods</t>
    <phoneticPr fontId="1"/>
  </si>
  <si>
    <t>Animal Crossing</t>
    <phoneticPr fontId="1"/>
  </si>
  <si>
    <t>3DS Neo Bowser City</t>
    <phoneticPr fontId="1"/>
  </si>
  <si>
    <t>GBA Ribbon Road</t>
    <phoneticPr fontId="1"/>
  </si>
  <si>
    <t>Super Bell Subway</t>
    <phoneticPr fontId="1"/>
  </si>
  <si>
    <t>Big Blue</t>
    <phoneticPr fontId="1"/>
  </si>
  <si>
    <t>3DS Toad Circuit</t>
    <phoneticPr fontId="1"/>
  </si>
  <si>
    <t>N64 Choco Mountain</t>
    <phoneticPr fontId="1"/>
  </si>
  <si>
    <t>Wii Coconut Mall</t>
    <phoneticPr fontId="1"/>
  </si>
  <si>
    <t>Tour Tokyo Blur</t>
    <phoneticPr fontId="1"/>
  </si>
  <si>
    <t>DS Shroom Ridge</t>
    <phoneticPr fontId="1"/>
  </si>
  <si>
    <t>GBA Sky Garden</t>
    <phoneticPr fontId="1"/>
  </si>
  <si>
    <t>Tour Ninja Hideaway</t>
    <phoneticPr fontId="1"/>
  </si>
  <si>
    <t>Tour New York Minute</t>
    <phoneticPr fontId="1"/>
  </si>
  <si>
    <t>N64 Kalimari Desert</t>
    <phoneticPr fontId="1"/>
  </si>
  <si>
    <t>DS Waluigi Pinball</t>
    <phoneticPr fontId="1"/>
  </si>
  <si>
    <t>Tour Sydney Sprint</t>
    <phoneticPr fontId="1"/>
  </si>
  <si>
    <t>SNES Mario Circuit 3</t>
    <phoneticPr fontId="1"/>
  </si>
  <si>
    <t>GBA Snow Land</t>
    <phoneticPr fontId="1"/>
  </si>
  <si>
    <t>Wii Mushroom Gorge</t>
    <phoneticPr fontId="1"/>
  </si>
  <si>
    <t>Sky-high Sundae</t>
    <phoneticPr fontId="1"/>
  </si>
  <si>
    <t>Tour London Loop</t>
    <phoneticPr fontId="1"/>
  </si>
  <si>
    <t>GBA Boo Lake</t>
  </si>
  <si>
    <t>3DS Rock Rock Mountain</t>
    <phoneticPr fontId="1"/>
  </si>
  <si>
    <t>Wii Maple Treeway</t>
    <phoneticPr fontId="1"/>
  </si>
  <si>
    <t>Tour Berlin Byways</t>
  </si>
  <si>
    <t>DS Peach Garden</t>
    <phoneticPr fontId="1"/>
  </si>
  <si>
    <t>Tour Merry Mountain</t>
    <phoneticPr fontId="1"/>
  </si>
  <si>
    <t>3DS Rainbow Road</t>
    <phoneticPr fontId="1"/>
  </si>
  <si>
    <t>Tour Amsterdam Drift</t>
    <phoneticPr fontId="1"/>
  </si>
  <si>
    <t>GBA Riverside Park</t>
    <phoneticPr fontId="1"/>
  </si>
  <si>
    <t>Wii DK Summit</t>
    <phoneticPr fontId="1"/>
  </si>
  <si>
    <t>Yoshi's Island</t>
    <phoneticPr fontId="1"/>
  </si>
  <si>
    <t>Tour Bangkok Rush</t>
    <phoneticPr fontId="1"/>
  </si>
  <si>
    <t>DS Mario Circuit</t>
    <phoneticPr fontId="1"/>
  </si>
  <si>
    <t>DS マリオサーキット</t>
    <phoneticPr fontId="1"/>
  </si>
  <si>
    <t>Tour Singapore Speedway</t>
    <phoneticPr fontId="1"/>
  </si>
  <si>
    <t>GCN Waluigi Stadium</t>
    <phoneticPr fontId="1"/>
  </si>
  <si>
    <t>bAD</t>
    <phoneticPr fontId="1"/>
  </si>
  <si>
    <t>bRP</t>
    <phoneticPr fontId="1"/>
  </si>
  <si>
    <t>bDS</t>
    <phoneticPr fontId="1"/>
  </si>
  <si>
    <t>bYI</t>
    <phoneticPr fontId="1"/>
  </si>
  <si>
    <t>bBR</t>
    <phoneticPr fontId="1"/>
  </si>
  <si>
    <t>bMC</t>
    <phoneticPr fontId="1"/>
  </si>
  <si>
    <t>bWS</t>
    <phoneticPr fontId="1"/>
  </si>
  <si>
    <t>bSSy</t>
    <phoneticPr fontId="1"/>
  </si>
  <si>
    <t>displayOrder</t>
    <phoneticPr fontId="1"/>
  </si>
  <si>
    <t>wii</t>
    <phoneticPr fontId="1"/>
  </si>
  <si>
    <t>gba</t>
    <phoneticPr fontId="1"/>
  </si>
  <si>
    <t>ds</t>
    <phoneticPr fontId="1"/>
  </si>
  <si>
    <t>n64</t>
    <phoneticPr fontId="1"/>
  </si>
  <si>
    <t>gc</t>
    <phoneticPr fontId="1"/>
  </si>
  <si>
    <t>sfc</t>
    <phoneticPr fontId="1"/>
  </si>
  <si>
    <t>3ds</t>
    <phoneticPr fontId="1"/>
  </si>
  <si>
    <t>tour</t>
    <phoneticPr fontId="1"/>
  </si>
  <si>
    <t>versionKey</t>
    <phoneticPr fontId="1"/>
  </si>
  <si>
    <t>versionNameJp</t>
    <phoneticPr fontId="1"/>
  </si>
  <si>
    <t>versionNameEn</t>
    <phoneticPr fontId="1"/>
  </si>
  <si>
    <t>sfc</t>
    <phoneticPr fontId="1"/>
  </si>
  <si>
    <t>n64</t>
    <phoneticPr fontId="1"/>
  </si>
  <si>
    <t>gba</t>
    <phoneticPr fontId="1"/>
  </si>
  <si>
    <t>gc</t>
    <phoneticPr fontId="1"/>
  </si>
  <si>
    <t>ds</t>
    <phoneticPr fontId="1"/>
  </si>
  <si>
    <t>wii</t>
    <phoneticPr fontId="1"/>
  </si>
  <si>
    <t>3ds</t>
    <phoneticPr fontId="1"/>
  </si>
  <si>
    <t>wiiu</t>
    <phoneticPr fontId="1"/>
  </si>
  <si>
    <t>wiiu</t>
    <phoneticPr fontId="1"/>
  </si>
  <si>
    <t>switch</t>
    <phoneticPr fontId="1"/>
  </si>
  <si>
    <t>tour</t>
    <phoneticPr fontId="1"/>
  </si>
  <si>
    <t>SFC</t>
    <phoneticPr fontId="1"/>
  </si>
  <si>
    <t>N64</t>
    <phoneticPr fontId="1"/>
  </si>
  <si>
    <t>GBA</t>
    <phoneticPr fontId="1"/>
  </si>
  <si>
    <t>GC</t>
    <phoneticPr fontId="1"/>
  </si>
  <si>
    <t>Wii</t>
    <phoneticPr fontId="1"/>
  </si>
  <si>
    <t>3DS</t>
    <phoneticPr fontId="1"/>
  </si>
  <si>
    <t>WiiU</t>
    <phoneticPr fontId="1"/>
  </si>
  <si>
    <t>Switch</t>
    <phoneticPr fontId="1"/>
  </si>
  <si>
    <t>Tour</t>
    <phoneticPr fontId="1"/>
  </si>
  <si>
    <t>SNES</t>
    <phoneticPr fontId="1"/>
  </si>
  <si>
    <t>GCN</t>
    <phoneticPr fontId="1"/>
  </si>
  <si>
    <t>3DS</t>
    <phoneticPr fontId="1"/>
  </si>
  <si>
    <t>switch</t>
    <phoneticPr fontId="1"/>
  </si>
  <si>
    <t>loungeTierKey</t>
    <phoneticPr fontId="1"/>
  </si>
  <si>
    <t>x</t>
    <phoneticPr fontId="1"/>
  </si>
  <si>
    <t>s</t>
    <phoneticPr fontId="1"/>
  </si>
  <si>
    <t>a</t>
    <phoneticPr fontId="1"/>
  </si>
  <si>
    <t>ab</t>
    <phoneticPr fontId="1"/>
  </si>
  <si>
    <t>bc</t>
    <phoneticPr fontId="1"/>
  </si>
  <si>
    <t>c</t>
    <phoneticPr fontId="1"/>
  </si>
  <si>
    <t>cd</t>
    <phoneticPr fontId="1"/>
  </si>
  <si>
    <t>de</t>
    <phoneticPr fontId="1"/>
  </si>
  <si>
    <t>e</t>
    <phoneticPr fontId="1"/>
  </si>
  <si>
    <t>ef</t>
    <phoneticPr fontId="1"/>
  </si>
  <si>
    <t>f</t>
    <phoneticPr fontId="1"/>
  </si>
  <si>
    <t>fg</t>
    <phoneticPr fontId="1"/>
  </si>
  <si>
    <t>g</t>
    <phoneticPr fontId="1"/>
  </si>
  <si>
    <t>loungeTierName</t>
    <phoneticPr fontId="1"/>
  </si>
  <si>
    <t>tier-X</t>
    <phoneticPr fontId="1"/>
  </si>
  <si>
    <t>tier-S</t>
    <phoneticPr fontId="1"/>
  </si>
  <si>
    <t>tier-A</t>
    <phoneticPr fontId="1"/>
  </si>
  <si>
    <t>tier-AB</t>
    <phoneticPr fontId="1"/>
  </si>
  <si>
    <t>tier-B</t>
    <phoneticPr fontId="1"/>
  </si>
  <si>
    <t>tier-BC</t>
    <phoneticPr fontId="1"/>
  </si>
  <si>
    <t>tier-C</t>
    <phoneticPr fontId="1"/>
  </si>
  <si>
    <t>tier-CD</t>
    <phoneticPr fontId="1"/>
  </si>
  <si>
    <t>tier-D</t>
    <phoneticPr fontId="1"/>
  </si>
  <si>
    <t>tier-DE</t>
    <phoneticPr fontId="1"/>
  </si>
  <si>
    <t>tier-E</t>
    <phoneticPr fontId="1"/>
  </si>
  <si>
    <t>tier-EF</t>
    <phoneticPr fontId="1"/>
  </si>
  <si>
    <t>tier-F</t>
    <phoneticPr fontId="1"/>
  </si>
  <si>
    <t>tier-FG</t>
    <phoneticPr fontId="1"/>
  </si>
  <si>
    <t>tier-G</t>
    <phoneticPr fontId="1"/>
  </si>
  <si>
    <t>Rank</t>
    <phoneticPr fontId="1"/>
  </si>
  <si>
    <t>Point</t>
    <phoneticPr fontId="1"/>
  </si>
  <si>
    <t>言語 / Language</t>
    <rPh sb="0" eb="2">
      <t>ゲンゴ</t>
    </rPh>
    <phoneticPr fontId="1"/>
  </si>
  <si>
    <t>languageKey</t>
    <phoneticPr fontId="1"/>
  </si>
  <si>
    <t>languageName</t>
    <phoneticPr fontId="1"/>
  </si>
  <si>
    <t>jp</t>
    <phoneticPr fontId="1"/>
  </si>
  <si>
    <t>en</t>
    <phoneticPr fontId="1"/>
  </si>
  <si>
    <t>日本語</t>
    <rPh sb="0" eb="3">
      <t>ニホンゴ</t>
    </rPh>
    <phoneticPr fontId="1"/>
  </si>
  <si>
    <t>English</t>
    <phoneticPr fontId="1"/>
  </si>
  <si>
    <t>設定 / Settings</t>
    <rPh sb="0" eb="2">
      <t>セッテイ</t>
    </rPh>
    <phoneticPr fontId="1"/>
  </si>
  <si>
    <t>Tour パリプロムナード</t>
    <phoneticPr fontId="1"/>
  </si>
  <si>
    <t>Tour Paris Promenade</t>
    <phoneticPr fontId="1"/>
  </si>
  <si>
    <t>pts</t>
    <phoneticPr fontId="1"/>
  </si>
  <si>
    <t>計 / Total</t>
    <rPh sb="0" eb="1">
      <t>ケイ</t>
    </rPh>
    <phoneticPr fontId="1"/>
  </si>
  <si>
    <t xml:space="preserve"> </t>
    <phoneticPr fontId="1"/>
  </si>
  <si>
    <t>o</t>
    <phoneticPr fontId="1"/>
  </si>
  <si>
    <t>others</t>
    <phoneticPr fontId="1"/>
  </si>
  <si>
    <t>formatKey</t>
    <phoneticPr fontId="1"/>
  </si>
  <si>
    <t>formatName</t>
    <phoneticPr fontId="1"/>
  </si>
  <si>
    <t>FFA</t>
    <phoneticPr fontId="1"/>
  </si>
  <si>
    <t>2v2</t>
    <phoneticPr fontId="1"/>
  </si>
  <si>
    <t>3v3</t>
    <phoneticPr fontId="1"/>
  </si>
  <si>
    <t>4v4</t>
    <phoneticPr fontId="1"/>
  </si>
  <si>
    <t>6v6</t>
    <phoneticPr fontId="1"/>
  </si>
  <si>
    <t>模擬tier / Match tier</t>
    <rPh sb="0" eb="2">
      <t>モギ</t>
    </rPh>
    <phoneticPr fontId="1"/>
  </si>
  <si>
    <t>形式 / Format</t>
    <rPh sb="0" eb="2">
      <t>ケイシキ</t>
    </rPh>
    <phoneticPr fontId="1"/>
  </si>
  <si>
    <t>コース名 / Track name</t>
    <rPh sb="3" eb="4">
      <t>メイ</t>
    </rPh>
    <phoneticPr fontId="1"/>
  </si>
  <si>
    <t>開始順位 / Starting rank</t>
    <rPh sb="0" eb="2">
      <t>カイシ</t>
    </rPh>
    <rPh sb="2" eb="4">
      <t>ジュンイ</t>
    </rPh>
    <phoneticPr fontId="1"/>
  </si>
  <si>
    <t>順位 / Rank</t>
    <rPh sb="0" eb="2">
      <t>ジュンイ</t>
    </rPh>
    <phoneticPr fontId="1"/>
  </si>
  <si>
    <t>registKey</t>
    <phoneticPr fontId="1"/>
  </si>
  <si>
    <t>date</t>
    <phoneticPr fontId="1"/>
  </si>
  <si>
    <t>tier</t>
    <phoneticPr fontId="1"/>
  </si>
  <si>
    <t>format</t>
    <phoneticPr fontId="1"/>
  </si>
  <si>
    <t>startingRank</t>
    <phoneticPr fontId="1"/>
  </si>
  <si>
    <t>detail</t>
    <phoneticPr fontId="1"/>
  </si>
  <si>
    <t>未選択</t>
    <phoneticPr fontId="1"/>
  </si>
  <si>
    <t>コースを選択</t>
    <phoneticPr fontId="1"/>
  </si>
  <si>
    <t>ウォーターパーク</t>
  </si>
  <si>
    <t>データ登録 / Regist data</t>
    <phoneticPr fontId="1"/>
  </si>
  <si>
    <t>日本語</t>
    <rPh sb="0" eb="3">
      <t>ニホンゴ</t>
    </rPh>
    <phoneticPr fontId="1"/>
  </si>
  <si>
    <t>resultRank</t>
    <phoneticPr fontId="1"/>
  </si>
  <si>
    <t>resultPoint</t>
    <phoneticPr fontId="1"/>
  </si>
  <si>
    <t>マリオカートスタジアム</t>
  </si>
  <si>
    <t>備考 / Remark</t>
    <rPh sb="0" eb="2">
      <t>ビコウ</t>
    </rPh>
    <phoneticPr fontId="1"/>
  </si>
  <si>
    <t>N64 チョコマウンテン</t>
  </si>
  <si>
    <t>ドッスンいせき</t>
  </si>
  <si>
    <t>マリオサーキット</t>
  </si>
  <si>
    <t>行ラベル</t>
  </si>
  <si>
    <t>総計</t>
  </si>
  <si>
    <t>スイーツキャニオン</t>
  </si>
  <si>
    <t>キノピオハーバー</t>
  </si>
  <si>
    <t>Wii ワリオこうざん</t>
  </si>
  <si>
    <t>Tour トーキョースクランブル</t>
  </si>
  <si>
    <t>Tour シドニーサンシャイン</t>
  </si>
  <si>
    <t>Ave. rank</t>
  </si>
  <si>
    <t>Ave. points</t>
  </si>
  <si>
    <t>(すべて)</t>
  </si>
  <si>
    <t>スタート順位 / Starting rank</t>
  </si>
  <si>
    <t>回数 / Times</t>
  </si>
  <si>
    <t>コースを選択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</si>
</sst>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0_ "/>
    <numFmt numFmtId="177" formatCode="0.0_ "/>
    <numFmt numFmtId="178" formatCode="0_ "/>
    <numFmt numFmtId="179" formatCode="000000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1"/>
      <color theme="0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tted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7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4" fillId="0" borderId="0" xfId="0" applyFont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7" fillId="2" borderId="0" xfId="0" applyFont="1" applyFill="1" applyAlignment="1">
      <alignment vertical="center" shrinkToFit="1"/>
    </xf>
    <xf numFmtId="0" fontId="0" fillId="2" borderId="0" xfId="0" applyFill="1" applyAlignment="1">
      <alignment vertical="center" shrinkToFit="1"/>
    </xf>
    <xf numFmtId="0" fontId="5" fillId="2" borderId="4" xfId="0" applyFont="1" applyFill="1" applyBorder="1" applyAlignment="1">
      <alignment horizontal="center" vertical="center" shrinkToFit="1"/>
    </xf>
    <xf numFmtId="0" fontId="5" fillId="2" borderId="7" xfId="0" applyFont="1" applyFill="1" applyBorder="1" applyAlignment="1">
      <alignment horizontal="center" vertical="center" shrinkToFit="1"/>
    </xf>
    <xf numFmtId="0" fontId="0" fillId="2" borderId="7" xfId="0" applyFill="1" applyBorder="1" applyAlignment="1">
      <alignment vertical="center" shrinkToFit="1"/>
    </xf>
    <xf numFmtId="0" fontId="8" fillId="2" borderId="0" xfId="0" applyFont="1" applyFill="1" applyAlignment="1">
      <alignment horizontal="center" vertical="center" shrinkToFit="1"/>
    </xf>
    <xf numFmtId="0" fontId="2" fillId="2" borderId="0" xfId="0" applyFont="1" applyFill="1" applyAlignment="1">
      <alignment horizontal="center" vertical="center" shrinkToFit="1"/>
    </xf>
    <xf numFmtId="0" fontId="0" fillId="2" borderId="5" xfId="0" applyFill="1" applyBorder="1" applyAlignment="1">
      <alignment vertical="center" shrinkToFit="1"/>
    </xf>
    <xf numFmtId="0" fontId="0" fillId="2" borderId="0" xfId="0" applyFill="1" applyAlignment="1">
      <alignment horizontal="center" vertical="center" shrinkToFit="1"/>
    </xf>
    <xf numFmtId="0" fontId="0" fillId="3" borderId="6" xfId="0" applyFill="1" applyBorder="1" applyAlignment="1">
      <alignment vertical="center" shrinkToFit="1"/>
    </xf>
    <xf numFmtId="0" fontId="0" fillId="2" borderId="6" xfId="0" applyFill="1" applyBorder="1" applyAlignment="1">
      <alignment vertical="center" shrinkToFit="1"/>
    </xf>
    <xf numFmtId="0" fontId="0" fillId="3" borderId="11" xfId="0" applyFill="1" applyBorder="1" applyAlignment="1">
      <alignment vertical="center" shrinkToFit="1"/>
    </xf>
    <xf numFmtId="0" fontId="0" fillId="2" borderId="1" xfId="0" applyFill="1" applyBorder="1" applyAlignment="1">
      <alignment vertical="center" shrinkToFit="1"/>
    </xf>
    <xf numFmtId="0" fontId="6" fillId="2" borderId="3" xfId="0" applyFont="1" applyFill="1" applyBorder="1" applyAlignment="1">
      <alignment horizontal="right" vertical="center" shrinkToFit="1"/>
    </xf>
    <xf numFmtId="0" fontId="6" fillId="2" borderId="3" xfId="0" applyFont="1" applyFill="1" applyBorder="1" applyAlignment="1">
      <alignment vertical="center" shrinkToFit="1"/>
    </xf>
    <xf numFmtId="0" fontId="6" fillId="2" borderId="10" xfId="0" applyFont="1" applyFill="1" applyBorder="1" applyAlignment="1">
      <alignment vertical="center" shrinkToFit="1"/>
    </xf>
    <xf numFmtId="0" fontId="2" fillId="2" borderId="8" xfId="0" applyFont="1" applyFill="1" applyBorder="1" applyAlignment="1">
      <alignment horizontal="center" vertical="center" shrinkToFit="1"/>
    </xf>
    <xf numFmtId="0" fontId="2" fillId="2" borderId="3" xfId="0" applyFont="1" applyFill="1" applyBorder="1" applyAlignment="1">
      <alignment horizontal="center" vertical="center" shrinkToFit="1"/>
    </xf>
    <xf numFmtId="0" fontId="2" fillId="2" borderId="14" xfId="0" applyFont="1" applyFill="1" applyBorder="1" applyAlignment="1">
      <alignment horizontal="center" vertical="center" shrinkToFit="1"/>
    </xf>
    <xf numFmtId="0" fontId="2" fillId="2" borderId="1" xfId="0" applyFont="1" applyFill="1" applyBorder="1" applyAlignment="1">
      <alignment horizontal="center" vertical="center" shrinkToFit="1"/>
    </xf>
    <xf numFmtId="0" fontId="4" fillId="2" borderId="8" xfId="0" applyFont="1" applyFill="1" applyBorder="1" applyAlignment="1">
      <alignment vertical="center" shrinkToFit="1"/>
    </xf>
    <xf numFmtId="0" fontId="2" fillId="2" borderId="13" xfId="0" applyFont="1" applyFill="1" applyBorder="1" applyAlignment="1">
      <alignment horizontal="center" vertical="center" shrinkToFit="1"/>
    </xf>
    <xf numFmtId="0" fontId="2" fillId="3" borderId="10" xfId="0" applyFont="1" applyFill="1" applyBorder="1" applyAlignment="1">
      <alignment horizontal="center" vertical="center" shrinkToFit="1"/>
    </xf>
    <xf numFmtId="0" fontId="2" fillId="3" borderId="3" xfId="0" applyFont="1" applyFill="1" applyBorder="1" applyAlignment="1">
      <alignment horizontal="center" vertical="center" shrinkToFit="1"/>
    </xf>
    <xf numFmtId="0" fontId="2" fillId="3" borderId="2" xfId="0" applyFont="1" applyFill="1" applyBorder="1" applyAlignment="1">
      <alignment horizontal="center" vertical="center" shrinkToFit="1"/>
    </xf>
    <xf numFmtId="0" fontId="4" fillId="2" borderId="12" xfId="0" applyFont="1" applyFill="1" applyBorder="1" applyAlignment="1" applyProtection="1">
      <alignment horizontal="center" vertical="center" shrinkToFit="1"/>
      <protection locked="0"/>
    </xf>
    <xf numFmtId="0" fontId="4" fillId="2" borderId="15" xfId="0" applyFont="1" applyFill="1" applyBorder="1" applyAlignment="1" applyProtection="1">
      <alignment horizontal="center" vertical="center" shrinkToFit="1"/>
      <protection locked="0"/>
    </xf>
    <xf numFmtId="0" fontId="4" fillId="2" borderId="12" xfId="0" applyFont="1" applyFill="1" applyBorder="1" applyAlignment="1" applyProtection="1">
      <alignment vertical="center" shrinkToFit="1"/>
      <protection locked="0"/>
    </xf>
    <xf numFmtId="0" fontId="0" fillId="2" borderId="0" xfId="0" applyFill="1" applyAlignment="1" applyProtection="1">
      <alignment horizontal="center" vertical="center" shrinkToFit="1"/>
      <protection locked="0"/>
    </xf>
    <xf numFmtId="0" fontId="0" fillId="2" borderId="4" xfId="0" applyFill="1" applyBorder="1" applyAlignment="1" applyProtection="1">
      <alignment vertical="center" shrinkToFit="1"/>
      <protection locked="0"/>
    </xf>
    <xf numFmtId="0" fontId="0" fillId="2" borderId="7" xfId="0" applyFill="1" applyBorder="1" applyAlignment="1" applyProtection="1">
      <alignment vertical="center" shrinkToFit="1"/>
      <protection locked="0"/>
    </xf>
    <xf numFmtId="0" fontId="0" fillId="3" borderId="0" xfId="0" applyFill="1" applyAlignment="1" applyProtection="1">
      <alignment horizontal="center" vertical="center" shrinkToFit="1"/>
      <protection locked="0"/>
    </xf>
    <xf numFmtId="0" fontId="0" fillId="3" borderId="7" xfId="0" applyFill="1" applyBorder="1" applyAlignment="1" applyProtection="1">
      <alignment vertical="center" shrinkToFit="1"/>
      <protection locked="0"/>
    </xf>
    <xf numFmtId="0" fontId="0" fillId="3" borderId="1" xfId="0" applyFill="1" applyBorder="1" applyAlignment="1" applyProtection="1">
      <alignment horizontal="center" vertical="center" shrinkToFit="1"/>
      <protection locked="0"/>
    </xf>
    <xf numFmtId="0" fontId="0" fillId="3" borderId="9" xfId="0" applyFill="1" applyBorder="1" applyAlignment="1" applyProtection="1">
      <alignment vertical="center" shrinkToFit="1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176" fontId="0" fillId="0" borderId="0" xfId="0" pivotButton="1" applyNumberFormat="1">
      <alignment vertical="center"/>
    </xf>
    <xf numFmtId="176" fontId="0" fillId="0" borderId="0" xfId="0" applyNumberFormat="1">
      <alignment vertical="center"/>
    </xf>
    <xf numFmtId="176" fontId="0" fillId="0" borderId="0" xfId="0" applyNumberFormat="1" applyAlignment="1">
      <alignment horizontal="left" vertical="center"/>
    </xf>
    <xf numFmtId="0" fontId="5" fillId="0" borderId="0" xfId="0" applyFont="1" applyAlignment="1">
      <alignment horizontal="center" vertical="center"/>
    </xf>
    <xf numFmtId="177" fontId="0" fillId="0" borderId="0" xfId="0" applyNumberFormat="1">
      <alignment vertical="center"/>
    </xf>
    <xf numFmtId="178" fontId="0" fillId="0" borderId="0" xfId="0" applyNumberFormat="1">
      <alignment vertical="center"/>
    </xf>
    <xf numFmtId="176" fontId="0" fillId="2" borderId="0" xfId="0" applyNumberFormat="1" applyFill="1">
      <alignment vertical="center"/>
    </xf>
    <xf numFmtId="179" fontId="5" fillId="0" borderId="0" xfId="0" applyNumberFormat="1" applyFont="1" applyAlignment="1">
      <alignment horizontal="center" vertical="center"/>
    </xf>
    <xf numFmtId="179" fontId="0" fillId="0" borderId="0" xfId="0" applyNumberFormat="1">
      <alignment vertical="center"/>
    </xf>
    <xf numFmtId="0" fontId="5" fillId="0" borderId="1" xfId="0" applyFont="1" applyBorder="1" applyAlignment="1">
      <alignment horizontal="center" vertical="center" shrinkToFit="1"/>
    </xf>
    <xf numFmtId="176" fontId="0" fillId="2" borderId="0" xfId="0" applyNumberFormat="1" applyFill="1" applyAlignment="1">
      <alignment horizontal="center" vertical="center"/>
    </xf>
    <xf numFmtId="0" fontId="5" fillId="0" borderId="0" xfId="0" applyFont="1" applyAlignment="1">
      <alignment horizontal="center" vertical="center"/>
    </xf>
  </cellXfs>
  <cellStyles count="1">
    <cellStyle name="標準" xfId="0" builtinId="0"/>
  </cellStyles>
  <dxfs count="14">
    <dxf>
      <numFmt numFmtId="177" formatCode="0.0_ "/>
    </dxf>
    <dxf>
      <numFmt numFmtId="177" formatCode="0.0_ "/>
    </dxf>
    <dxf>
      <numFmt numFmtId="177" formatCode="0.0_ "/>
    </dxf>
    <dxf>
      <numFmt numFmtId="178" formatCode="0_ "/>
    </dxf>
    <dxf>
      <numFmt numFmtId="178" formatCode="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7.emf"/><Relationship Id="rId1" Type="http://schemas.openxmlformats.org/officeDocument/2006/relationships/image" Target="../media/image6.emf"/><Relationship Id="rId4" Type="http://schemas.openxmlformats.org/officeDocument/2006/relationships/image" Target="../media/image9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1</xdr:row>
          <xdr:rowOff>38100</xdr:rowOff>
        </xdr:from>
        <xdr:to>
          <xdr:col>3</xdr:col>
          <xdr:colOff>1339850</xdr:colOff>
          <xdr:row>2</xdr:row>
          <xdr:rowOff>101600</xdr:rowOff>
        </xdr:to>
        <xdr:sp macro="" textlink="">
          <xdr:nvSpPr>
            <xdr:cNvPr id="4099" name="RegistDataBtn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165100</xdr:rowOff>
        </xdr:from>
        <xdr:to>
          <xdr:col>3</xdr:col>
          <xdr:colOff>1339850</xdr:colOff>
          <xdr:row>3</xdr:row>
          <xdr:rowOff>228600</xdr:rowOff>
        </xdr:to>
        <xdr:sp macro="" textlink="">
          <xdr:nvSpPr>
            <xdr:cNvPr id="4103" name="ResetBtn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18</xdr:row>
          <xdr:rowOff>139700</xdr:rowOff>
        </xdr:from>
        <xdr:to>
          <xdr:col>3</xdr:col>
          <xdr:colOff>1346200</xdr:colOff>
          <xdr:row>20</xdr:row>
          <xdr:rowOff>31750</xdr:rowOff>
        </xdr:to>
        <xdr:sp macro="" textlink="">
          <xdr:nvSpPr>
            <xdr:cNvPr id="4104" name="GoToDataBtn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1924050</xdr:colOff>
          <xdr:row>18</xdr:row>
          <xdr:rowOff>139700</xdr:rowOff>
        </xdr:from>
        <xdr:to>
          <xdr:col>3</xdr:col>
          <xdr:colOff>76200</xdr:colOff>
          <xdr:row>20</xdr:row>
          <xdr:rowOff>31750</xdr:rowOff>
        </xdr:to>
        <xdr:sp macro="" textlink="">
          <xdr:nvSpPr>
            <xdr:cNvPr id="4105" name="GoToGraphBtn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44450</xdr:colOff>
          <xdr:row>0</xdr:row>
          <xdr:rowOff>44450</xdr:rowOff>
        </xdr:from>
        <xdr:to>
          <xdr:col>0</xdr:col>
          <xdr:colOff>1854200</xdr:colOff>
          <xdr:row>0</xdr:row>
          <xdr:rowOff>393700</xdr:rowOff>
        </xdr:to>
        <xdr:sp macro="" textlink="">
          <xdr:nvSpPr>
            <xdr:cNvPr id="7170" name="GoToRegistDataBt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1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0</xdr:row>
          <xdr:rowOff>31750</xdr:rowOff>
        </xdr:from>
        <xdr:to>
          <xdr:col>13</xdr:col>
          <xdr:colOff>273050</xdr:colOff>
          <xdr:row>0</xdr:row>
          <xdr:rowOff>381000</xdr:rowOff>
        </xdr:to>
        <xdr:sp macro="" textlink="">
          <xdr:nvSpPr>
            <xdr:cNvPr id="6145" name="GoToRegistDataBtn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1</xdr:row>
          <xdr:rowOff>139700</xdr:rowOff>
        </xdr:from>
        <xdr:to>
          <xdr:col>13</xdr:col>
          <xdr:colOff>273050</xdr:colOff>
          <xdr:row>3</xdr:row>
          <xdr:rowOff>25400</xdr:rowOff>
        </xdr:to>
        <xdr:sp macro="" textlink="">
          <xdr:nvSpPr>
            <xdr:cNvPr id="6146" name="ImportDataBtn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3</xdr:row>
          <xdr:rowOff>203200</xdr:rowOff>
        </xdr:from>
        <xdr:to>
          <xdr:col>13</xdr:col>
          <xdr:colOff>273050</xdr:colOff>
          <xdr:row>5</xdr:row>
          <xdr:rowOff>95250</xdr:rowOff>
        </xdr:to>
        <xdr:sp macro="" textlink="">
          <xdr:nvSpPr>
            <xdr:cNvPr id="6147" name="ExportDataBtn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6</xdr:row>
          <xdr:rowOff>38100</xdr:rowOff>
        </xdr:from>
        <xdr:to>
          <xdr:col>13</xdr:col>
          <xdr:colOff>273050</xdr:colOff>
          <xdr:row>7</xdr:row>
          <xdr:rowOff>158750</xdr:rowOff>
        </xdr:to>
        <xdr:sp macro="" textlink="">
          <xdr:nvSpPr>
            <xdr:cNvPr id="6148" name="DeleteDataBtn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317500</xdr:colOff>
          <xdr:row>1</xdr:row>
          <xdr:rowOff>0</xdr:rowOff>
        </xdr:from>
        <xdr:to>
          <xdr:col>3</xdr:col>
          <xdr:colOff>1581150</xdr:colOff>
          <xdr:row>3</xdr:row>
          <xdr:rowOff>152400</xdr:rowOff>
        </xdr:to>
        <xdr:sp macro="" textlink="">
          <xdr:nvSpPr>
            <xdr:cNvPr id="2049" name="RestartButt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臼井佑太郎" refreshedDate="45047.049402777775" createdVersion="8" refreshedVersion="8" minRefreshableVersion="3" recordCount="47" xr:uid="{7E0134B0-407D-4CD1-9156-8B892621E910}">
  <cacheSource type="worksheet">
    <worksheetSource ref="A1:K1048576" sheet="Data"/>
  </cacheSource>
  <cacheFields count="11">
    <cacheField name="registKey" numFmtId="49">
      <sharedItems containsBlank="1"/>
    </cacheField>
    <cacheField name="date" numFmtId="0">
      <sharedItems containsNonDate="0" containsDate="1" containsString="0" containsBlank="1" minDate="2023-05-01T00:00:00" maxDate="2023-05-02T00:00:00"/>
    </cacheField>
    <cacheField name="tier" numFmtId="0">
      <sharedItems containsBlank="1"/>
    </cacheField>
    <cacheField name="format" numFmtId="0">
      <sharedItems containsBlank="1"/>
    </cacheField>
    <cacheField name="trackKey" numFmtId="0">
      <sharedItems containsBlank="1"/>
    </cacheField>
    <cacheField name="trackNameJp" numFmtId="0">
      <sharedItems containsBlank="1" count="19">
        <s v="マリオカートスタジアム"/>
        <s v="ウォーターパーク"/>
        <s v="スイーツキャニオン"/>
        <s v="ドッスンいせき"/>
        <s v="キノピオハーバー"/>
        <s v="N64 チョコマウンテン"/>
        <s v="Wii ワリオこうざん"/>
        <s v="Tour トーキョースクランブル"/>
        <s v="Tour シドニーサンシャイン"/>
        <s v="マリオサーキット"/>
        <m/>
        <s v="3DS ネオクッパシティ" u="1"/>
        <s v="DS ワルイージピンボール" u="1"/>
        <s v="Wii モーモーカントリー" u="1"/>
        <s v="Tour ベルリンシュトラーセ" u="1"/>
        <s v="Wii メイプルツリーハウス" u="1"/>
        <s v="GBA チーズランド" u="1"/>
        <s v="N64 カラカラさばく" u="1"/>
        <s v="ドラゴンロード" u="1"/>
      </sharedItems>
    </cacheField>
    <cacheField name="trackNameEn" numFmtId="0">
      <sharedItems containsBlank="1"/>
    </cacheField>
    <cacheField name="startingRank" numFmtId="0">
      <sharedItems containsString="0" containsBlank="1" containsNumber="1" containsInteger="1" minValue="0" maxValue="12" count="14">
        <n v="1"/>
        <n v="2"/>
        <n v="3"/>
        <n v="4"/>
        <n v="5"/>
        <n v="6"/>
        <n v="7"/>
        <n v="8"/>
        <n v="9"/>
        <n v="10"/>
        <n v="11"/>
        <m/>
        <n v="0" u="1"/>
        <n v="12" u="1"/>
      </sharedItems>
    </cacheField>
    <cacheField name="resultRank" numFmtId="0">
      <sharedItems containsString="0" containsBlank="1" containsNumber="1" containsInteger="1" minValue="1" maxValue="12"/>
    </cacheField>
    <cacheField name="resultPoint" numFmtId="0">
      <sharedItems containsString="0" containsBlank="1" containsNumber="1" containsInteger="1" minValue="1" maxValue="15"/>
    </cacheField>
    <cacheField name="detail" numFmtId="0">
      <sharedItems containsBlank="1" count="2">
        <s v="サンプル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">
  <r>
    <s v="000014"/>
    <d v="2023-05-01T00:00:00"/>
    <s v="tier-X"/>
    <s v="FFA"/>
    <s v="MKS"/>
    <x v="0"/>
    <s v="Mario Kart Stadium"/>
    <x v="0"/>
    <n v="1"/>
    <n v="15"/>
    <x v="0"/>
  </r>
  <r>
    <s v="000014"/>
    <d v="2023-05-01T00:00:00"/>
    <s v="tier-X"/>
    <s v="FFA"/>
    <s v="WP"/>
    <x v="1"/>
    <s v="Water Park"/>
    <x v="0"/>
    <n v="2"/>
    <n v="12"/>
    <x v="0"/>
  </r>
  <r>
    <s v="000014"/>
    <d v="2023-05-01T00:00:00"/>
    <s v="tier-X"/>
    <s v="FFA"/>
    <s v="SSC"/>
    <x v="2"/>
    <s v="Sweet Sweet Canyon"/>
    <x v="1"/>
    <n v="3"/>
    <n v="10"/>
    <x v="0"/>
  </r>
  <r>
    <s v="000014"/>
    <d v="2023-05-01T00:00:00"/>
    <s v="tier-X"/>
    <s v="FFA"/>
    <s v="TR"/>
    <x v="3"/>
    <s v="Thwomp Ruins"/>
    <x v="2"/>
    <n v="4"/>
    <n v="9"/>
    <x v="0"/>
  </r>
  <r>
    <s v="000014"/>
    <d v="2023-05-01T00:00:00"/>
    <s v="tier-X"/>
    <s v="FFA"/>
    <s v="TR"/>
    <x v="3"/>
    <s v="Thwomp Ruins"/>
    <x v="3"/>
    <n v="5"/>
    <n v="8"/>
    <x v="0"/>
  </r>
  <r>
    <s v="000014"/>
    <d v="2023-05-01T00:00:00"/>
    <s v="tier-X"/>
    <s v="FFA"/>
    <s v="TH"/>
    <x v="4"/>
    <s v="Toad Harbor"/>
    <x v="4"/>
    <n v="6"/>
    <n v="7"/>
    <x v="0"/>
  </r>
  <r>
    <s v="000014"/>
    <d v="2023-05-01T00:00:00"/>
    <s v="tier-X"/>
    <s v="FFA"/>
    <s v="TH"/>
    <x v="4"/>
    <s v="Toad Harbor"/>
    <x v="5"/>
    <n v="7"/>
    <n v="6"/>
    <x v="0"/>
  </r>
  <r>
    <s v="000014"/>
    <d v="2023-05-01T00:00:00"/>
    <s v="tier-X"/>
    <s v="FFA"/>
    <s v="bCMo"/>
    <x v="5"/>
    <s v="N64 Choco Mountain"/>
    <x v="6"/>
    <n v="8"/>
    <n v="5"/>
    <x v="0"/>
  </r>
  <r>
    <s v="000014"/>
    <d v="2023-05-01T00:00:00"/>
    <s v="tier-X"/>
    <s v="FFA"/>
    <s v="dWGM"/>
    <x v="6"/>
    <s v="Wii Wario's Gold Mine"/>
    <x v="7"/>
    <n v="9"/>
    <n v="4"/>
    <x v="0"/>
  </r>
  <r>
    <s v="000014"/>
    <d v="2023-05-01T00:00:00"/>
    <s v="tier-X"/>
    <s v="FFA"/>
    <s v="bTB"/>
    <x v="7"/>
    <s v="Tour Tokyo Blur"/>
    <x v="8"/>
    <n v="10"/>
    <n v="3"/>
    <x v="0"/>
  </r>
  <r>
    <s v="000014"/>
    <d v="2023-05-01T00:00:00"/>
    <s v="tier-X"/>
    <s v="FFA"/>
    <s v="bSS"/>
    <x v="8"/>
    <s v="Tour Sydney Sprint"/>
    <x v="9"/>
    <n v="11"/>
    <n v="2"/>
    <x v="0"/>
  </r>
  <r>
    <s v="000014"/>
    <d v="2023-05-01T00:00:00"/>
    <s v="tier-X"/>
    <s v="FFA"/>
    <s v="MC"/>
    <x v="9"/>
    <s v="Mario Circuit"/>
    <x v="10"/>
    <n v="12"/>
    <n v="1"/>
    <x v="0"/>
  </r>
  <r>
    <s v="000014"/>
    <d v="2023-05-01T00:00:00"/>
    <s v="tier-X"/>
    <s v="FFA"/>
    <s v="MKS"/>
    <x v="0"/>
    <s v="Mario Kart Stadium"/>
    <x v="0"/>
    <n v="1"/>
    <n v="15"/>
    <x v="0"/>
  </r>
  <r>
    <s v="000014"/>
    <d v="2023-05-01T00:00:00"/>
    <s v="tier-X"/>
    <s v="FFA"/>
    <s v="WP"/>
    <x v="1"/>
    <s v="Water Park"/>
    <x v="0"/>
    <n v="2"/>
    <n v="12"/>
    <x v="0"/>
  </r>
  <r>
    <s v="000014"/>
    <d v="2023-05-01T00:00:00"/>
    <s v="tier-X"/>
    <s v="FFA"/>
    <s v="SSC"/>
    <x v="2"/>
    <s v="Sweet Sweet Canyon"/>
    <x v="1"/>
    <n v="3"/>
    <n v="10"/>
    <x v="0"/>
  </r>
  <r>
    <s v="000014"/>
    <d v="2023-05-01T00:00:00"/>
    <s v="tier-X"/>
    <s v="FFA"/>
    <s v="TR"/>
    <x v="3"/>
    <s v="Thwomp Ruins"/>
    <x v="2"/>
    <n v="4"/>
    <n v="9"/>
    <x v="0"/>
  </r>
  <r>
    <s v="000014"/>
    <d v="2023-05-01T00:00:00"/>
    <s v="tier-X"/>
    <s v="FFA"/>
    <s v="TR"/>
    <x v="3"/>
    <s v="Thwomp Ruins"/>
    <x v="3"/>
    <n v="5"/>
    <n v="8"/>
    <x v="0"/>
  </r>
  <r>
    <s v="000014"/>
    <d v="2023-05-01T00:00:00"/>
    <s v="tier-X"/>
    <s v="FFA"/>
    <s v="TH"/>
    <x v="4"/>
    <s v="Toad Harbor"/>
    <x v="4"/>
    <n v="6"/>
    <n v="7"/>
    <x v="0"/>
  </r>
  <r>
    <s v="000014"/>
    <d v="2023-05-01T00:00:00"/>
    <s v="tier-X"/>
    <s v="FFA"/>
    <s v="TH"/>
    <x v="4"/>
    <s v="Toad Harbor"/>
    <x v="5"/>
    <n v="7"/>
    <n v="6"/>
    <x v="0"/>
  </r>
  <r>
    <s v="000014"/>
    <d v="2023-05-01T00:00:00"/>
    <s v="tier-X"/>
    <s v="FFA"/>
    <s v="bCMo"/>
    <x v="5"/>
    <s v="N64 Choco Mountain"/>
    <x v="6"/>
    <n v="8"/>
    <n v="5"/>
    <x v="0"/>
  </r>
  <r>
    <s v="000014"/>
    <d v="2023-05-01T00:00:00"/>
    <s v="tier-X"/>
    <s v="FFA"/>
    <s v="dWGM"/>
    <x v="6"/>
    <s v="Wii Wario's Gold Mine"/>
    <x v="7"/>
    <n v="9"/>
    <n v="4"/>
    <x v="0"/>
  </r>
  <r>
    <s v="000014"/>
    <d v="2023-05-01T00:00:00"/>
    <s v="tier-X"/>
    <s v="FFA"/>
    <s v="bTB"/>
    <x v="7"/>
    <s v="Tour Tokyo Blur"/>
    <x v="8"/>
    <n v="10"/>
    <n v="3"/>
    <x v="0"/>
  </r>
  <r>
    <s v="000014"/>
    <d v="2023-05-01T00:00:00"/>
    <s v="tier-X"/>
    <s v="FFA"/>
    <s v="bSS"/>
    <x v="8"/>
    <s v="Tour Sydney Sprint"/>
    <x v="9"/>
    <n v="11"/>
    <n v="2"/>
    <x v="0"/>
  </r>
  <r>
    <s v="000014"/>
    <d v="2023-05-01T00:00:00"/>
    <s v="tier-X"/>
    <s v="FFA"/>
    <s v="MC"/>
    <x v="9"/>
    <s v="Mario Circuit"/>
    <x v="10"/>
    <n v="12"/>
    <n v="1"/>
    <x v="0"/>
  </r>
  <r>
    <s v="000014"/>
    <d v="2023-05-01T00:00:00"/>
    <s v="tier-X"/>
    <s v="FFA"/>
    <s v="MKS"/>
    <x v="0"/>
    <s v="Mario Kart Stadium"/>
    <x v="0"/>
    <n v="1"/>
    <n v="15"/>
    <x v="0"/>
  </r>
  <r>
    <s v="000014"/>
    <d v="2023-05-01T00:00:00"/>
    <s v="tier-X"/>
    <s v="FFA"/>
    <s v="WP"/>
    <x v="1"/>
    <s v="Water Park"/>
    <x v="0"/>
    <n v="2"/>
    <n v="12"/>
    <x v="0"/>
  </r>
  <r>
    <s v="000014"/>
    <d v="2023-05-01T00:00:00"/>
    <s v="tier-X"/>
    <s v="FFA"/>
    <s v="SSC"/>
    <x v="2"/>
    <s v="Sweet Sweet Canyon"/>
    <x v="1"/>
    <n v="3"/>
    <n v="10"/>
    <x v="0"/>
  </r>
  <r>
    <s v="000014"/>
    <d v="2023-05-01T00:00:00"/>
    <s v="tier-X"/>
    <s v="FFA"/>
    <s v="TR"/>
    <x v="3"/>
    <s v="Thwomp Ruins"/>
    <x v="2"/>
    <n v="4"/>
    <n v="9"/>
    <x v="0"/>
  </r>
  <r>
    <s v="000014"/>
    <d v="2023-05-01T00:00:00"/>
    <s v="tier-X"/>
    <s v="FFA"/>
    <s v="TR"/>
    <x v="3"/>
    <s v="Thwomp Ruins"/>
    <x v="3"/>
    <n v="5"/>
    <n v="8"/>
    <x v="0"/>
  </r>
  <r>
    <s v="000014"/>
    <d v="2023-05-01T00:00:00"/>
    <s v="tier-X"/>
    <s v="FFA"/>
    <s v="TH"/>
    <x v="4"/>
    <s v="Toad Harbor"/>
    <x v="4"/>
    <n v="6"/>
    <n v="7"/>
    <x v="0"/>
  </r>
  <r>
    <s v="000014"/>
    <d v="2023-05-01T00:00:00"/>
    <s v="tier-X"/>
    <s v="FFA"/>
    <s v="TH"/>
    <x v="4"/>
    <s v="Toad Harbor"/>
    <x v="5"/>
    <n v="7"/>
    <n v="6"/>
    <x v="0"/>
  </r>
  <r>
    <s v="000014"/>
    <d v="2023-05-01T00:00:00"/>
    <s v="tier-X"/>
    <s v="FFA"/>
    <s v="bCMo"/>
    <x v="5"/>
    <s v="N64 Choco Mountain"/>
    <x v="6"/>
    <n v="8"/>
    <n v="5"/>
    <x v="0"/>
  </r>
  <r>
    <s v="000014"/>
    <d v="2023-05-01T00:00:00"/>
    <s v="tier-X"/>
    <s v="FFA"/>
    <s v="dWGM"/>
    <x v="6"/>
    <s v="Wii Wario's Gold Mine"/>
    <x v="7"/>
    <n v="9"/>
    <n v="4"/>
    <x v="0"/>
  </r>
  <r>
    <s v="000014"/>
    <d v="2023-05-01T00:00:00"/>
    <s v="tier-X"/>
    <s v="FFA"/>
    <s v="bTB"/>
    <x v="7"/>
    <s v="Tour Tokyo Blur"/>
    <x v="8"/>
    <n v="10"/>
    <n v="3"/>
    <x v="0"/>
  </r>
  <r>
    <s v="000014"/>
    <d v="2023-05-01T00:00:00"/>
    <s v="tier-X"/>
    <s v="FFA"/>
    <s v="bSS"/>
    <x v="8"/>
    <s v="Tour Sydney Sprint"/>
    <x v="9"/>
    <n v="11"/>
    <n v="2"/>
    <x v="0"/>
  </r>
  <r>
    <s v="000014"/>
    <d v="2023-05-01T00:00:00"/>
    <s v="tier-X"/>
    <s v="FFA"/>
    <s v="MC"/>
    <x v="9"/>
    <s v="Mario Circuit"/>
    <x v="10"/>
    <n v="12"/>
    <n v="1"/>
    <x v="0"/>
  </r>
  <r>
    <m/>
    <m/>
    <m/>
    <m/>
    <m/>
    <x v="10"/>
    <m/>
    <x v="11"/>
    <m/>
    <m/>
    <x v="1"/>
  </r>
  <r>
    <m/>
    <m/>
    <m/>
    <m/>
    <m/>
    <x v="10"/>
    <m/>
    <x v="11"/>
    <m/>
    <m/>
    <x v="1"/>
  </r>
  <r>
    <m/>
    <m/>
    <m/>
    <m/>
    <m/>
    <x v="10"/>
    <m/>
    <x v="11"/>
    <m/>
    <m/>
    <x v="1"/>
  </r>
  <r>
    <m/>
    <m/>
    <m/>
    <m/>
    <m/>
    <x v="10"/>
    <m/>
    <x v="11"/>
    <m/>
    <m/>
    <x v="1"/>
  </r>
  <r>
    <m/>
    <m/>
    <m/>
    <m/>
    <m/>
    <x v="10"/>
    <m/>
    <x v="11"/>
    <m/>
    <m/>
    <x v="1"/>
  </r>
  <r>
    <m/>
    <m/>
    <m/>
    <m/>
    <m/>
    <x v="10"/>
    <m/>
    <x v="11"/>
    <m/>
    <m/>
    <x v="1"/>
  </r>
  <r>
    <m/>
    <m/>
    <m/>
    <m/>
    <m/>
    <x v="10"/>
    <m/>
    <x v="11"/>
    <m/>
    <m/>
    <x v="1"/>
  </r>
  <r>
    <m/>
    <m/>
    <m/>
    <m/>
    <m/>
    <x v="10"/>
    <m/>
    <x v="11"/>
    <m/>
    <m/>
    <x v="1"/>
  </r>
  <r>
    <m/>
    <m/>
    <m/>
    <m/>
    <m/>
    <x v="10"/>
    <m/>
    <x v="11"/>
    <m/>
    <m/>
    <x v="1"/>
  </r>
  <r>
    <m/>
    <m/>
    <m/>
    <m/>
    <m/>
    <x v="10"/>
    <m/>
    <x v="11"/>
    <m/>
    <m/>
    <x v="1"/>
  </r>
  <r>
    <m/>
    <m/>
    <m/>
    <m/>
    <m/>
    <x v="10"/>
    <m/>
    <x v="11"/>
    <m/>
    <m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C21E0D7-4CE1-42A4-9053-AE824BF3B2A6}" name="ピボットテーブル1" cacheId="1" applyNumberFormats="0" applyBorderFormats="0" applyFontFormats="0" applyPatternFormats="0" applyAlignmentFormats="0" applyWidthHeightFormats="1" dataCaption="値" updatedVersion="8" minRefreshableVersion="3" useAutoFormatting="1" itemPrintTitles="1" createdVersion="8" indent="0" outline="1" outlineData="1" multipleFieldFilters="0">
  <location ref="A4:D15" firstHeaderRow="0" firstDataRow="1" firstDataCol="1" rowPageCount="1" colPageCount="1"/>
  <pivotFields count="11">
    <pivotField showAll="0"/>
    <pivotField showAll="0"/>
    <pivotField showAll="0"/>
    <pivotField showAll="0"/>
    <pivotField showAll="0"/>
    <pivotField name="コース名 / Track name" axis="axisRow" dataField="1" showAll="0" sortType="ascending">
      <items count="20">
        <item x="0"/>
        <item x="1"/>
        <item x="3"/>
        <item x="9"/>
        <item m="1" x="18"/>
        <item m="1" x="11"/>
        <item m="1" x="12"/>
        <item m="1" x="16"/>
        <item m="1" x="17"/>
        <item x="5"/>
        <item m="1" x="14"/>
        <item m="1" x="15"/>
        <item m="1" x="13"/>
        <item h="1" x="10"/>
        <item x="2"/>
        <item x="4"/>
        <item x="6"/>
        <item x="7"/>
        <item x="8"/>
        <item t="default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showAll="0"/>
    <pivotField name="スタート順位 / Starting rank" axis="axisPage" showAll="0">
      <items count="15">
        <item m="1" x="12"/>
        <item x="0"/>
        <item x="1"/>
        <item x="3"/>
        <item x="4"/>
        <item x="5"/>
        <item x="7"/>
        <item x="9"/>
        <item x="10"/>
        <item m="1" x="13"/>
        <item x="11"/>
        <item x="2"/>
        <item x="6"/>
        <item x="8"/>
        <item t="default"/>
      </items>
    </pivotField>
    <pivotField dataField="1" showAll="0"/>
    <pivotField dataField="1" showAll="0"/>
    <pivotField showAll="0"/>
  </pivotFields>
  <rowFields count="1">
    <field x="5"/>
  </rowFields>
  <rowItems count="11">
    <i>
      <x v="9"/>
    </i>
    <i>
      <x v="14"/>
    </i>
    <i>
      <x v="1"/>
    </i>
    <i>
      <x v="3"/>
    </i>
    <i>
      <x v="18"/>
    </i>
    <i>
      <x v="16"/>
    </i>
    <i>
      <x/>
    </i>
    <i>
      <x v="17"/>
    </i>
    <i>
      <x v="15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7" hier="-1"/>
  </pageFields>
  <dataFields count="3">
    <dataField name="Ave. points" fld="9" subtotal="average" baseField="5" baseItem="1" numFmtId="177"/>
    <dataField name="Ave. rank" fld="8" subtotal="count" baseField="5" baseItem="1" numFmtId="177"/>
    <dataField name="回数 / Times" fld="5" subtotal="count" baseField="5" baseItem="1" numFmtId="178"/>
  </dataFields>
  <formats count="14">
    <format dxfId="13">
      <pivotArea type="all" dataOnly="0" outline="0" fieldPosition="0"/>
    </format>
    <format dxfId="12">
      <pivotArea outline="0" collapsedLevelsAreSubtotals="1" fieldPosition="0"/>
    </format>
    <format dxfId="11">
      <pivotArea type="origin" dataOnly="0" labelOnly="1" outline="0" fieldPosition="0"/>
    </format>
    <format dxfId="10">
      <pivotArea field="7" type="button" dataOnly="0" labelOnly="1" outline="0" axis="axisPage" fieldPosition="0"/>
    </format>
    <format dxfId="9">
      <pivotArea type="topRight" dataOnly="0" labelOnly="1" outline="0" fieldPosition="0"/>
    </format>
    <format dxfId="8">
      <pivotArea field="5" type="button" dataOnly="0" labelOnly="1" outline="0" axis="axisRow" fieldPosition="0"/>
    </format>
    <format dxfId="7">
      <pivotArea dataOnly="0" labelOnly="1" fieldPosition="0">
        <references count="1">
          <reference field="5" count="0"/>
        </references>
      </pivotArea>
    </format>
    <format dxfId="6">
      <pivotArea dataOnly="0" labelOnly="1" grandRow="1" outline="0" fieldPosition="0"/>
    </format>
    <format dxfId="5">
      <pivotArea dataOnly="0" labelOnly="1" grandCol="1" outline="0" fieldPosition="0"/>
    </format>
    <format dxfId="4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2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">
      <pivotArea dataOnly="0" labelOnly="1" outline="0" fieldPosition="0">
        <references count="1">
          <reference field="7" count="0"/>
        </references>
      </pivotArea>
    </format>
    <format dxfId="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Relationship Id="rId6" Type="http://schemas.openxmlformats.org/officeDocument/2006/relationships/image" Target="../media/image5.emf"/><Relationship Id="rId5" Type="http://schemas.openxmlformats.org/officeDocument/2006/relationships/control" Target="../activeX/activeX5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7.xml"/><Relationship Id="rId11" Type="http://schemas.openxmlformats.org/officeDocument/2006/relationships/image" Target="../media/image9.emf"/><Relationship Id="rId5" Type="http://schemas.openxmlformats.org/officeDocument/2006/relationships/image" Target="../media/image6.emf"/><Relationship Id="rId10" Type="http://schemas.openxmlformats.org/officeDocument/2006/relationships/control" Target="../activeX/activeX9.xml"/><Relationship Id="rId4" Type="http://schemas.openxmlformats.org/officeDocument/2006/relationships/control" Target="../activeX/activeX6.xml"/><Relationship Id="rId9" Type="http://schemas.openxmlformats.org/officeDocument/2006/relationships/image" Target="../media/image8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10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B2090A-399B-4B93-9725-DB1D3463B6D8}">
  <sheetPr codeName="Sheet1"/>
  <dimension ref="A1:E18"/>
  <sheetViews>
    <sheetView workbookViewId="0">
      <selection sqref="A1:D1"/>
    </sheetView>
  </sheetViews>
  <sheetFormatPr defaultColWidth="8.6640625" defaultRowHeight="18" x14ac:dyDescent="0.55000000000000004"/>
  <cols>
    <col min="1" max="1" width="5.08203125" style="10" customWidth="1"/>
    <col min="2" max="2" width="30.08203125" style="17" customWidth="1"/>
    <col min="3" max="3" width="10.83203125" style="10" customWidth="1"/>
    <col min="4" max="4" width="18.33203125" style="10" customWidth="1"/>
    <col min="5" max="5" width="8.6640625" style="9" hidden="1" customWidth="1"/>
    <col min="6" max="16384" width="8.6640625" style="10"/>
  </cols>
  <sheetData>
    <row r="1" spans="1:5" ht="22.5" x14ac:dyDescent="0.55000000000000004">
      <c r="A1" s="54" t="s">
        <v>420</v>
      </c>
      <c r="B1" s="54"/>
      <c r="C1" s="54"/>
      <c r="D1" s="54"/>
    </row>
    <row r="2" spans="1:5" ht="22.5" x14ac:dyDescent="0.55000000000000004">
      <c r="A2" s="25" t="s">
        <v>396</v>
      </c>
      <c r="B2" s="26" t="s">
        <v>406</v>
      </c>
      <c r="C2" s="34" t="s">
        <v>417</v>
      </c>
      <c r="D2" s="11"/>
    </row>
    <row r="3" spans="1:5" ht="22.5" x14ac:dyDescent="0.55000000000000004">
      <c r="A3" s="27"/>
      <c r="B3" s="28" t="s">
        <v>407</v>
      </c>
      <c r="C3" s="35" t="s">
        <v>417</v>
      </c>
      <c r="D3" s="12"/>
    </row>
    <row r="4" spans="1:5" ht="20" customHeight="1" x14ac:dyDescent="0.55000000000000004">
      <c r="A4" s="29"/>
      <c r="B4" s="30" t="s">
        <v>409</v>
      </c>
      <c r="C4" s="36"/>
      <c r="D4" s="13"/>
    </row>
    <row r="5" spans="1:5" s="15" customFormat="1" ht="20" customHeight="1" x14ac:dyDescent="0.55000000000000004">
      <c r="A5" s="31"/>
      <c r="B5" s="32" t="s">
        <v>408</v>
      </c>
      <c r="C5" s="33" t="s">
        <v>410</v>
      </c>
      <c r="D5" s="33" t="s">
        <v>425</v>
      </c>
      <c r="E5" s="14"/>
    </row>
    <row r="6" spans="1:5" ht="20" customHeight="1" x14ac:dyDescent="0.55000000000000004">
      <c r="A6" s="16">
        <v>1</v>
      </c>
      <c r="B6" s="37" t="s">
        <v>441</v>
      </c>
      <c r="C6" s="38"/>
      <c r="D6" s="39"/>
      <c r="E6" s="9">
        <f>IF(C6="",0,IF(C6=1,15,IF(C6=2,12,13-C6)))</f>
        <v>0</v>
      </c>
    </row>
    <row r="7" spans="1:5" ht="20" customHeight="1" x14ac:dyDescent="0.55000000000000004">
      <c r="A7" s="18">
        <v>2</v>
      </c>
      <c r="B7" s="40" t="s">
        <v>441</v>
      </c>
      <c r="C7" s="41"/>
      <c r="D7" s="41"/>
      <c r="E7" s="9">
        <f t="shared" ref="E7:E17" si="0">IF(C7="",0,IF(C7=1,15,IF(C7=2,12,13-C7)))</f>
        <v>0</v>
      </c>
    </row>
    <row r="8" spans="1:5" ht="20" customHeight="1" x14ac:dyDescent="0.55000000000000004">
      <c r="A8" s="19">
        <v>3</v>
      </c>
      <c r="B8" s="37" t="s">
        <v>418</v>
      </c>
      <c r="C8" s="39"/>
      <c r="D8" s="39"/>
      <c r="E8" s="9">
        <f t="shared" si="0"/>
        <v>0</v>
      </c>
    </row>
    <row r="9" spans="1:5" ht="20" customHeight="1" x14ac:dyDescent="0.55000000000000004">
      <c r="A9" s="18">
        <v>4</v>
      </c>
      <c r="B9" s="40" t="s">
        <v>418</v>
      </c>
      <c r="C9" s="41"/>
      <c r="D9" s="41"/>
      <c r="E9" s="9">
        <f t="shared" si="0"/>
        <v>0</v>
      </c>
    </row>
    <row r="10" spans="1:5" ht="20" customHeight="1" x14ac:dyDescent="0.55000000000000004">
      <c r="A10" s="19">
        <v>5</v>
      </c>
      <c r="B10" s="37" t="s">
        <v>418</v>
      </c>
      <c r="C10" s="39"/>
      <c r="D10" s="39"/>
      <c r="E10" s="9">
        <f t="shared" si="0"/>
        <v>0</v>
      </c>
    </row>
    <row r="11" spans="1:5" ht="20" customHeight="1" x14ac:dyDescent="0.55000000000000004">
      <c r="A11" s="18">
        <v>6</v>
      </c>
      <c r="B11" s="40" t="s">
        <v>418</v>
      </c>
      <c r="C11" s="41"/>
      <c r="D11" s="41"/>
      <c r="E11" s="9">
        <f t="shared" si="0"/>
        <v>0</v>
      </c>
    </row>
    <row r="12" spans="1:5" ht="20" customHeight="1" x14ac:dyDescent="0.55000000000000004">
      <c r="A12" s="19">
        <v>7</v>
      </c>
      <c r="B12" s="37" t="s">
        <v>418</v>
      </c>
      <c r="C12" s="39"/>
      <c r="D12" s="39"/>
      <c r="E12" s="9">
        <f t="shared" si="0"/>
        <v>0</v>
      </c>
    </row>
    <row r="13" spans="1:5" ht="20" customHeight="1" x14ac:dyDescent="0.55000000000000004">
      <c r="A13" s="18">
        <v>8</v>
      </c>
      <c r="B13" s="40" t="s">
        <v>418</v>
      </c>
      <c r="C13" s="41"/>
      <c r="D13" s="41"/>
      <c r="E13" s="9">
        <f t="shared" si="0"/>
        <v>0</v>
      </c>
    </row>
    <row r="14" spans="1:5" ht="20" customHeight="1" x14ac:dyDescent="0.55000000000000004">
      <c r="A14" s="19">
        <v>9</v>
      </c>
      <c r="B14" s="37" t="s">
        <v>418</v>
      </c>
      <c r="C14" s="39"/>
      <c r="D14" s="39"/>
      <c r="E14" s="9">
        <f t="shared" si="0"/>
        <v>0</v>
      </c>
    </row>
    <row r="15" spans="1:5" ht="20" customHeight="1" x14ac:dyDescent="0.55000000000000004">
      <c r="A15" s="18">
        <v>10</v>
      </c>
      <c r="B15" s="40" t="s">
        <v>418</v>
      </c>
      <c r="C15" s="41"/>
      <c r="D15" s="41"/>
      <c r="E15" s="9">
        <f t="shared" si="0"/>
        <v>0</v>
      </c>
    </row>
    <row r="16" spans="1:5" ht="20" customHeight="1" x14ac:dyDescent="0.55000000000000004">
      <c r="A16" s="19">
        <v>11</v>
      </c>
      <c r="B16" s="37" t="s">
        <v>418</v>
      </c>
      <c r="C16" s="39"/>
      <c r="D16" s="39"/>
      <c r="E16" s="9">
        <f t="shared" si="0"/>
        <v>0</v>
      </c>
    </row>
    <row r="17" spans="1:5" ht="20" customHeight="1" x14ac:dyDescent="0.55000000000000004">
      <c r="A17" s="20">
        <v>12</v>
      </c>
      <c r="B17" s="42" t="s">
        <v>418</v>
      </c>
      <c r="C17" s="43"/>
      <c r="D17" s="43"/>
      <c r="E17" s="9">
        <f t="shared" si="0"/>
        <v>0</v>
      </c>
    </row>
    <row r="18" spans="1:5" ht="20" customHeight="1" x14ac:dyDescent="0.55000000000000004">
      <c r="A18" s="21"/>
      <c r="B18" s="22" t="s">
        <v>395</v>
      </c>
      <c r="C18" s="23">
        <f>SUM(E6:E17)</f>
        <v>0</v>
      </c>
      <c r="D18" s="24" t="s">
        <v>394</v>
      </c>
    </row>
  </sheetData>
  <sheetProtection algorithmName="SHA-512" hashValue="uUfZVfGjx8+19cWOHypwCD5CKgvuX9XJuTiK+lF10jsu0KRpLtie+IIncRIouVCdgzs11H8aHK9Pa9nurLwGUA==" saltValue="DhoNi26cfN4WbfE2skTYuA==" spinCount="100000" sheet="1" selectLockedCells="1"/>
  <mergeCells count="1">
    <mergeCell ref="A1:D1"/>
  </mergeCells>
  <phoneticPr fontId="1"/>
  <dataValidations count="1">
    <dataValidation type="whole" allowBlank="1" showInputMessage="1" showErrorMessage="1" sqref="C6:C17 C4" xr:uid="{56D5B942-32D9-4EF1-9E55-7B833B87BDF8}">
      <formula1>1</formula1>
      <formula2>12</formula2>
    </dataValidation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4105" r:id="rId4" name="GoToGraphBtn">
          <controlPr defaultSize="0" autoLine="0" r:id="rId5">
            <anchor moveWithCells="1">
              <from>
                <xdr:col>1</xdr:col>
                <xdr:colOff>1924050</xdr:colOff>
                <xdr:row>18</xdr:row>
                <xdr:rowOff>139700</xdr:rowOff>
              </from>
              <to>
                <xdr:col>3</xdr:col>
                <xdr:colOff>76200</xdr:colOff>
                <xdr:row>20</xdr:row>
                <xdr:rowOff>31750</xdr:rowOff>
              </to>
            </anchor>
          </controlPr>
        </control>
      </mc:Choice>
      <mc:Fallback>
        <control shapeId="4105" r:id="rId4" name="GoToGraphBtn"/>
      </mc:Fallback>
    </mc:AlternateContent>
    <mc:AlternateContent xmlns:mc="http://schemas.openxmlformats.org/markup-compatibility/2006">
      <mc:Choice Requires="x14">
        <control shapeId="4104" r:id="rId6" name="GoToDataBtn">
          <controlPr defaultSize="0" autoLine="0" r:id="rId7">
            <anchor moveWithCells="1">
              <from>
                <xdr:col>3</xdr:col>
                <xdr:colOff>76200</xdr:colOff>
                <xdr:row>18</xdr:row>
                <xdr:rowOff>139700</xdr:rowOff>
              </from>
              <to>
                <xdr:col>3</xdr:col>
                <xdr:colOff>1346200</xdr:colOff>
                <xdr:row>20</xdr:row>
                <xdr:rowOff>31750</xdr:rowOff>
              </to>
            </anchor>
          </controlPr>
        </control>
      </mc:Choice>
      <mc:Fallback>
        <control shapeId="4104" r:id="rId6" name="GoToDataBtn"/>
      </mc:Fallback>
    </mc:AlternateContent>
    <mc:AlternateContent xmlns:mc="http://schemas.openxmlformats.org/markup-compatibility/2006">
      <mc:Choice Requires="x14">
        <control shapeId="4103" r:id="rId8" name="ResetBtn">
          <controlPr defaultSize="0" autoLine="0" r:id="rId9">
            <anchor moveWithCells="1">
              <from>
                <xdr:col>3</xdr:col>
                <xdr:colOff>76200</xdr:colOff>
                <xdr:row>2</xdr:row>
                <xdr:rowOff>165100</xdr:rowOff>
              </from>
              <to>
                <xdr:col>3</xdr:col>
                <xdr:colOff>1339850</xdr:colOff>
                <xdr:row>3</xdr:row>
                <xdr:rowOff>228600</xdr:rowOff>
              </to>
            </anchor>
          </controlPr>
        </control>
      </mc:Choice>
      <mc:Fallback>
        <control shapeId="4103" r:id="rId8" name="ResetBtn"/>
      </mc:Fallback>
    </mc:AlternateContent>
    <mc:AlternateContent xmlns:mc="http://schemas.openxmlformats.org/markup-compatibility/2006">
      <mc:Choice Requires="x14">
        <control shapeId="4099" r:id="rId10" name="RegistDataBtn">
          <controlPr defaultSize="0" autoLine="0" r:id="rId11">
            <anchor moveWithCells="1">
              <from>
                <xdr:col>3</xdr:col>
                <xdr:colOff>76200</xdr:colOff>
                <xdr:row>1</xdr:row>
                <xdr:rowOff>38100</xdr:rowOff>
              </from>
              <to>
                <xdr:col>3</xdr:col>
                <xdr:colOff>1339850</xdr:colOff>
                <xdr:row>2</xdr:row>
                <xdr:rowOff>101600</xdr:rowOff>
              </to>
            </anchor>
          </controlPr>
        </control>
      </mc:Choice>
      <mc:Fallback>
        <control shapeId="4099" r:id="rId10" name="RegistDataBt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167CE07-B858-46F9-A0A2-84AF3DE44DAA}">
          <x14:formula1>
            <xm:f>Storage!$E:$E</xm:f>
          </x14:formula1>
          <xm:sqref>C2</xm:sqref>
        </x14:dataValidation>
        <x14:dataValidation type="list" allowBlank="1" showInputMessage="1" showErrorMessage="1" xr:uid="{65617441-8713-4E2B-A290-CDBD3EDB5686}">
          <x14:formula1>
            <xm:f>Storage!$A:$A</xm:f>
          </x14:formula1>
          <xm:sqref>B6:B17</xm:sqref>
        </x14:dataValidation>
        <x14:dataValidation type="list" allowBlank="1" showInputMessage="1" showErrorMessage="1" xr:uid="{76D49F27-2989-4170-8ABF-0F4937ACF0B0}">
          <x14:formula1>
            <xm:f>Storage!$F:$F</xm:f>
          </x14:formula1>
          <xm:sqref>C3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777A31-A31B-4D55-AFCB-6680ACBFAF02}">
  <sheetPr codeName="Sheet12"/>
  <dimension ref="A1:N20"/>
  <sheetViews>
    <sheetView workbookViewId="0">
      <pane ySplit="1" topLeftCell="A2" activePane="bottomLeft" state="frozen"/>
      <selection sqref="A1:C1"/>
      <selection pane="bottomLeft" activeCell="B27" sqref="B27"/>
    </sheetView>
  </sheetViews>
  <sheetFormatPr defaultRowHeight="18" x14ac:dyDescent="0.55000000000000004"/>
  <cols>
    <col min="1" max="1" width="26.75" style="46" bestFit="1" customWidth="1"/>
    <col min="2" max="2" width="11.25" style="49" bestFit="1" customWidth="1"/>
    <col min="3" max="3" width="9.75" style="49" bestFit="1" customWidth="1"/>
    <col min="4" max="4" width="12.5" style="50" bestFit="1" customWidth="1"/>
    <col min="5" max="7" width="5.58203125" style="46" bestFit="1" customWidth="1"/>
    <col min="8" max="9" width="6.6640625" style="46" bestFit="1" customWidth="1"/>
    <col min="10" max="10" width="6.5" style="46" bestFit="1" customWidth="1"/>
    <col min="11" max="13" width="5.58203125" style="46" bestFit="1" customWidth="1"/>
    <col min="14" max="14" width="6.1640625" style="46" bestFit="1" customWidth="1"/>
    <col min="15" max="15" width="17.1640625" style="46" bestFit="1" customWidth="1"/>
    <col min="16" max="16" width="17.25" style="46" bestFit="1" customWidth="1"/>
    <col min="17" max="17" width="17.1640625" style="46" bestFit="1" customWidth="1"/>
    <col min="18" max="18" width="17.25" style="46" bestFit="1" customWidth="1"/>
    <col min="19" max="19" width="17.1640625" style="46" bestFit="1" customWidth="1"/>
    <col min="20" max="20" width="17.25" style="46" bestFit="1" customWidth="1"/>
    <col min="21" max="21" width="17.1640625" style="46" bestFit="1" customWidth="1"/>
    <col min="22" max="22" width="17.25" style="46" bestFit="1" customWidth="1"/>
    <col min="23" max="23" width="17.1640625" style="46" bestFit="1" customWidth="1"/>
    <col min="24" max="24" width="17.25" style="46" bestFit="1" customWidth="1"/>
    <col min="25" max="25" width="17.1640625" style="46" bestFit="1" customWidth="1"/>
    <col min="26" max="26" width="23.6640625" style="46" bestFit="1" customWidth="1"/>
    <col min="27" max="27" width="23.58203125" style="46" bestFit="1" customWidth="1"/>
    <col min="28" max="16384" width="8.6640625" style="46"/>
  </cols>
  <sheetData>
    <row r="1" spans="1:14" s="51" customFormat="1" ht="35" customHeight="1" x14ac:dyDescent="0.55000000000000004">
      <c r="A1" s="55"/>
      <c r="B1" s="55"/>
      <c r="C1" s="55"/>
      <c r="D1" s="55"/>
    </row>
    <row r="2" spans="1:14" x14ac:dyDescent="0.55000000000000004">
      <c r="A2" s="45" t="s">
        <v>439</v>
      </c>
      <c r="B2" s="49" t="s">
        <v>438</v>
      </c>
    </row>
    <row r="4" spans="1:14" x14ac:dyDescent="0.55000000000000004">
      <c r="A4" s="45" t="s">
        <v>429</v>
      </c>
      <c r="B4" s="49" t="s">
        <v>437</v>
      </c>
      <c r="C4" s="49" t="s">
        <v>436</v>
      </c>
      <c r="D4" s="50" t="s">
        <v>440</v>
      </c>
      <c r="E4"/>
      <c r="F4"/>
      <c r="G4"/>
      <c r="H4"/>
      <c r="I4"/>
      <c r="J4"/>
      <c r="K4"/>
      <c r="L4"/>
      <c r="M4"/>
      <c r="N4"/>
    </row>
    <row r="5" spans="1:14" x14ac:dyDescent="0.55000000000000004">
      <c r="A5" s="47" t="s">
        <v>426</v>
      </c>
      <c r="B5" s="49">
        <v>5</v>
      </c>
      <c r="C5" s="49">
        <v>3</v>
      </c>
      <c r="D5" s="50">
        <v>3</v>
      </c>
      <c r="E5"/>
      <c r="F5"/>
      <c r="G5"/>
      <c r="H5"/>
      <c r="I5"/>
      <c r="J5"/>
      <c r="K5"/>
      <c r="L5"/>
      <c r="M5"/>
      <c r="N5"/>
    </row>
    <row r="6" spans="1:14" x14ac:dyDescent="0.55000000000000004">
      <c r="A6" s="47" t="s">
        <v>431</v>
      </c>
      <c r="B6" s="49">
        <v>10</v>
      </c>
      <c r="C6" s="49">
        <v>3</v>
      </c>
      <c r="D6" s="50">
        <v>3</v>
      </c>
      <c r="E6"/>
      <c r="F6"/>
      <c r="G6"/>
      <c r="H6"/>
      <c r="I6"/>
      <c r="J6"/>
      <c r="K6"/>
      <c r="L6"/>
      <c r="M6"/>
      <c r="N6"/>
    </row>
    <row r="7" spans="1:14" x14ac:dyDescent="0.55000000000000004">
      <c r="A7" s="47" t="s">
        <v>419</v>
      </c>
      <c r="B7" s="49">
        <v>12</v>
      </c>
      <c r="C7" s="49">
        <v>3</v>
      </c>
      <c r="D7" s="50">
        <v>3</v>
      </c>
      <c r="E7"/>
      <c r="F7"/>
      <c r="G7"/>
      <c r="H7"/>
      <c r="I7"/>
      <c r="J7"/>
      <c r="K7"/>
      <c r="L7"/>
      <c r="M7"/>
      <c r="N7"/>
    </row>
    <row r="8" spans="1:14" x14ac:dyDescent="0.55000000000000004">
      <c r="A8" s="47" t="s">
        <v>428</v>
      </c>
      <c r="B8" s="49">
        <v>1</v>
      </c>
      <c r="C8" s="49">
        <v>3</v>
      </c>
      <c r="D8" s="50">
        <v>3</v>
      </c>
      <c r="E8"/>
      <c r="F8"/>
      <c r="G8"/>
      <c r="H8"/>
      <c r="I8"/>
      <c r="J8"/>
      <c r="K8"/>
      <c r="L8"/>
      <c r="M8"/>
      <c r="N8"/>
    </row>
    <row r="9" spans="1:14" x14ac:dyDescent="0.55000000000000004">
      <c r="A9" s="47" t="s">
        <v>435</v>
      </c>
      <c r="B9" s="49">
        <v>2</v>
      </c>
      <c r="C9" s="49">
        <v>3</v>
      </c>
      <c r="D9" s="50">
        <v>3</v>
      </c>
      <c r="E9"/>
      <c r="F9"/>
      <c r="G9"/>
      <c r="H9"/>
      <c r="I9"/>
      <c r="J9"/>
      <c r="K9"/>
      <c r="L9"/>
      <c r="M9"/>
      <c r="N9"/>
    </row>
    <row r="10" spans="1:14" x14ac:dyDescent="0.55000000000000004">
      <c r="A10" s="47" t="s">
        <v>433</v>
      </c>
      <c r="B10" s="49">
        <v>4</v>
      </c>
      <c r="C10" s="49">
        <v>3</v>
      </c>
      <c r="D10" s="50">
        <v>3</v>
      </c>
      <c r="E10"/>
      <c r="F10"/>
      <c r="G10"/>
      <c r="H10"/>
      <c r="I10"/>
      <c r="J10"/>
      <c r="K10"/>
      <c r="L10"/>
      <c r="M10"/>
      <c r="N10"/>
    </row>
    <row r="11" spans="1:14" x14ac:dyDescent="0.55000000000000004">
      <c r="A11" s="47" t="s">
        <v>424</v>
      </c>
      <c r="B11" s="49">
        <v>15</v>
      </c>
      <c r="C11" s="49">
        <v>3</v>
      </c>
      <c r="D11" s="50">
        <v>3</v>
      </c>
      <c r="E11"/>
      <c r="F11"/>
      <c r="G11"/>
      <c r="H11"/>
      <c r="I11"/>
      <c r="J11"/>
      <c r="K11"/>
      <c r="L11"/>
      <c r="M11"/>
      <c r="N11"/>
    </row>
    <row r="12" spans="1:14" x14ac:dyDescent="0.55000000000000004">
      <c r="A12" s="47" t="s">
        <v>434</v>
      </c>
      <c r="B12" s="49">
        <v>3</v>
      </c>
      <c r="C12" s="49">
        <v>3</v>
      </c>
      <c r="D12" s="50">
        <v>3</v>
      </c>
      <c r="E12"/>
      <c r="F12"/>
      <c r="G12"/>
      <c r="H12"/>
      <c r="I12"/>
      <c r="J12"/>
      <c r="K12"/>
      <c r="L12"/>
      <c r="M12"/>
      <c r="N12"/>
    </row>
    <row r="13" spans="1:14" x14ac:dyDescent="0.55000000000000004">
      <c r="A13" s="47" t="s">
        <v>432</v>
      </c>
      <c r="B13" s="49">
        <v>6.5</v>
      </c>
      <c r="C13" s="49">
        <v>6</v>
      </c>
      <c r="D13" s="50">
        <v>6</v>
      </c>
      <c r="E13"/>
      <c r="F13"/>
      <c r="G13"/>
      <c r="H13"/>
      <c r="I13"/>
      <c r="J13"/>
      <c r="K13"/>
      <c r="L13"/>
      <c r="M13"/>
      <c r="N13"/>
    </row>
    <row r="14" spans="1:14" x14ac:dyDescent="0.55000000000000004">
      <c r="A14" s="47" t="s">
        <v>427</v>
      </c>
      <c r="B14" s="49">
        <v>8.5</v>
      </c>
      <c r="C14" s="49">
        <v>6</v>
      </c>
      <c r="D14" s="50">
        <v>6</v>
      </c>
      <c r="E14"/>
      <c r="F14"/>
      <c r="G14"/>
      <c r="H14"/>
      <c r="I14"/>
      <c r="J14"/>
      <c r="K14"/>
      <c r="L14"/>
      <c r="M14"/>
      <c r="N14"/>
    </row>
    <row r="15" spans="1:14" x14ac:dyDescent="0.55000000000000004">
      <c r="A15" s="47" t="s">
        <v>430</v>
      </c>
      <c r="B15" s="49">
        <v>6.833333333333333</v>
      </c>
      <c r="C15" s="49">
        <v>36</v>
      </c>
      <c r="D15" s="50">
        <v>36</v>
      </c>
      <c r="E15"/>
      <c r="F15"/>
      <c r="G15"/>
      <c r="H15"/>
      <c r="I15"/>
      <c r="J15"/>
      <c r="K15"/>
      <c r="L15"/>
      <c r="M15"/>
      <c r="N15"/>
    </row>
    <row r="16" spans="1:14" x14ac:dyDescent="0.55000000000000004">
      <c r="A16"/>
      <c r="B16"/>
      <c r="C16"/>
      <c r="D16"/>
      <c r="E16"/>
      <c r="F16"/>
      <c r="G16"/>
      <c r="H16"/>
      <c r="I16"/>
      <c r="J16"/>
      <c r="K16"/>
      <c r="L16"/>
      <c r="M16"/>
      <c r="N16"/>
    </row>
    <row r="17" spans="1:14" x14ac:dyDescent="0.55000000000000004">
      <c r="A17"/>
      <c r="E17"/>
      <c r="F17"/>
      <c r="G17"/>
      <c r="H17"/>
      <c r="I17"/>
      <c r="J17"/>
      <c r="K17"/>
      <c r="L17"/>
      <c r="M17"/>
      <c r="N17"/>
    </row>
    <row r="18" spans="1:14" x14ac:dyDescent="0.55000000000000004">
      <c r="A18"/>
      <c r="E18"/>
      <c r="F18"/>
      <c r="G18"/>
      <c r="H18"/>
      <c r="I18"/>
      <c r="J18"/>
      <c r="K18"/>
      <c r="L18"/>
      <c r="M18"/>
    </row>
    <row r="19" spans="1:14" x14ac:dyDescent="0.55000000000000004">
      <c r="A19"/>
      <c r="E19"/>
      <c r="F19"/>
      <c r="G19"/>
      <c r="H19"/>
      <c r="I19"/>
      <c r="J19"/>
      <c r="K19"/>
      <c r="L19"/>
      <c r="M19"/>
    </row>
    <row r="20" spans="1:14" x14ac:dyDescent="0.55000000000000004">
      <c r="A20"/>
      <c r="E20"/>
      <c r="F20"/>
      <c r="G20"/>
      <c r="H20"/>
      <c r="I20"/>
      <c r="J20"/>
      <c r="K20"/>
      <c r="L20"/>
      <c r="M20"/>
    </row>
  </sheetData>
  <mergeCells count="1">
    <mergeCell ref="A1:D1"/>
  </mergeCells>
  <phoneticPr fontId="1"/>
  <pageMargins left="0.7" right="0.7" top="0.75" bottom="0.75" header="0.3" footer="0.3"/>
  <pageSetup paperSize="9" orientation="portrait" horizontalDpi="4294967293" verticalDpi="0" r:id="rId2"/>
  <drawing r:id="rId3"/>
  <legacyDrawing r:id="rId4"/>
  <controls>
    <mc:AlternateContent xmlns:mc="http://schemas.openxmlformats.org/markup-compatibility/2006">
      <mc:Choice Requires="x14">
        <control shapeId="7170" r:id="rId5" name="GoToRegistDataBtn">
          <controlPr defaultSize="0" autoLine="0" autoPict="0" r:id="rId6">
            <anchor moveWithCells="1">
              <from>
                <xdr:col>0</xdr:col>
                <xdr:colOff>44450</xdr:colOff>
                <xdr:row>0</xdr:row>
                <xdr:rowOff>44450</xdr:rowOff>
              </from>
              <to>
                <xdr:col>0</xdr:col>
                <xdr:colOff>1854200</xdr:colOff>
                <xdr:row>0</xdr:row>
                <xdr:rowOff>393700</xdr:rowOff>
              </to>
            </anchor>
          </controlPr>
        </control>
      </mc:Choice>
      <mc:Fallback>
        <control shapeId="7170" r:id="rId5" name="GoToRegistDataBt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B49EFC-BBCE-457B-A50C-944926B0FB36}">
  <sheetPr codeName="Sheet11"/>
  <dimension ref="A1:K49"/>
  <sheetViews>
    <sheetView tabSelected="1" zoomScale="90" zoomScaleNormal="90" workbookViewId="0">
      <pane ySplit="1" topLeftCell="A2" activePane="bottomLeft" state="frozen"/>
      <selection sqref="A1:C1"/>
      <selection pane="bottomLeft"/>
    </sheetView>
  </sheetViews>
  <sheetFormatPr defaultRowHeight="18" x14ac:dyDescent="0.55000000000000004"/>
  <cols>
    <col min="1" max="1" width="12.4140625" style="53" bestFit="1" customWidth="1"/>
    <col min="2" max="2" width="10" bestFit="1" customWidth="1"/>
    <col min="3" max="3" width="6" bestFit="1" customWidth="1"/>
    <col min="4" max="4" width="9.08203125" bestFit="1" customWidth="1"/>
    <col min="5" max="5" width="11.75" bestFit="1" customWidth="1"/>
    <col min="6" max="7" width="27.83203125" customWidth="1"/>
    <col min="8" max="8" width="16.58203125" bestFit="1" customWidth="1"/>
    <col min="9" max="9" width="14.1640625" bestFit="1" customWidth="1"/>
    <col min="10" max="10" width="14.25" bestFit="1" customWidth="1"/>
    <col min="11" max="11" width="15.6640625" customWidth="1"/>
    <col min="12" max="15" width="10.83203125" customWidth="1"/>
  </cols>
  <sheetData>
    <row r="1" spans="1:11" s="48" customFormat="1" ht="32.5" customHeight="1" x14ac:dyDescent="0.55000000000000004">
      <c r="A1" s="52" t="s">
        <v>411</v>
      </c>
      <c r="B1" s="48" t="s">
        <v>412</v>
      </c>
      <c r="C1" s="48" t="s">
        <v>413</v>
      </c>
      <c r="D1" s="48" t="s">
        <v>414</v>
      </c>
      <c r="E1" s="48" t="s">
        <v>97</v>
      </c>
      <c r="F1" s="48" t="s">
        <v>226</v>
      </c>
      <c r="G1" s="48" t="s">
        <v>227</v>
      </c>
      <c r="H1" s="48" t="s">
        <v>415</v>
      </c>
      <c r="I1" s="48" t="s">
        <v>422</v>
      </c>
      <c r="J1" s="48" t="s">
        <v>423</v>
      </c>
      <c r="K1" s="48" t="s">
        <v>416</v>
      </c>
    </row>
    <row r="2" spans="1:11" x14ac:dyDescent="0.55000000000000004">
      <c r="A2"/>
    </row>
    <row r="3" spans="1:11" x14ac:dyDescent="0.55000000000000004">
      <c r="A3"/>
    </row>
    <row r="4" spans="1:11" x14ac:dyDescent="0.55000000000000004">
      <c r="A4"/>
    </row>
    <row r="5" spans="1:11" x14ac:dyDescent="0.55000000000000004">
      <c r="A5"/>
    </row>
    <row r="6" spans="1:11" x14ac:dyDescent="0.55000000000000004">
      <c r="A6"/>
    </row>
    <row r="7" spans="1:11" x14ac:dyDescent="0.55000000000000004">
      <c r="A7"/>
    </row>
    <row r="8" spans="1:11" x14ac:dyDescent="0.55000000000000004">
      <c r="A8"/>
    </row>
    <row r="9" spans="1:11" x14ac:dyDescent="0.55000000000000004">
      <c r="A9"/>
    </row>
    <row r="10" spans="1:11" x14ac:dyDescent="0.55000000000000004">
      <c r="A10"/>
    </row>
    <row r="11" spans="1:11" x14ac:dyDescent="0.55000000000000004">
      <c r="A11"/>
    </row>
    <row r="12" spans="1:11" x14ac:dyDescent="0.55000000000000004">
      <c r="A12"/>
    </row>
    <row r="13" spans="1:11" x14ac:dyDescent="0.55000000000000004">
      <c r="A13"/>
    </row>
    <row r="14" spans="1:11" x14ac:dyDescent="0.55000000000000004">
      <c r="A14"/>
    </row>
    <row r="15" spans="1:11" x14ac:dyDescent="0.55000000000000004">
      <c r="A15"/>
    </row>
    <row r="16" spans="1:11" x14ac:dyDescent="0.55000000000000004">
      <c r="A16"/>
    </row>
    <row r="17" spans="1:1" x14ac:dyDescent="0.55000000000000004">
      <c r="A17"/>
    </row>
    <row r="18" spans="1:1" x14ac:dyDescent="0.55000000000000004">
      <c r="A18"/>
    </row>
    <row r="19" spans="1:1" x14ac:dyDescent="0.55000000000000004">
      <c r="A19"/>
    </row>
    <row r="20" spans="1:1" x14ac:dyDescent="0.55000000000000004">
      <c r="A20"/>
    </row>
    <row r="21" spans="1:1" x14ac:dyDescent="0.55000000000000004">
      <c r="A21"/>
    </row>
    <row r="22" spans="1:1" x14ac:dyDescent="0.55000000000000004">
      <c r="A22"/>
    </row>
    <row r="23" spans="1:1" x14ac:dyDescent="0.55000000000000004">
      <c r="A23"/>
    </row>
    <row r="24" spans="1:1" x14ac:dyDescent="0.55000000000000004">
      <c r="A24"/>
    </row>
    <row r="25" spans="1:1" x14ac:dyDescent="0.55000000000000004">
      <c r="A25"/>
    </row>
    <row r="26" spans="1:1" x14ac:dyDescent="0.55000000000000004">
      <c r="A26"/>
    </row>
    <row r="27" spans="1:1" x14ac:dyDescent="0.55000000000000004">
      <c r="A27"/>
    </row>
    <row r="28" spans="1:1" x14ac:dyDescent="0.55000000000000004">
      <c r="A28"/>
    </row>
    <row r="29" spans="1:1" x14ac:dyDescent="0.55000000000000004">
      <c r="A29"/>
    </row>
    <row r="30" spans="1:1" x14ac:dyDescent="0.55000000000000004">
      <c r="A30"/>
    </row>
    <row r="31" spans="1:1" x14ac:dyDescent="0.55000000000000004">
      <c r="A31"/>
    </row>
    <row r="32" spans="1:1" x14ac:dyDescent="0.55000000000000004">
      <c r="A32"/>
    </row>
    <row r="33" spans="1:1" x14ac:dyDescent="0.55000000000000004">
      <c r="A33"/>
    </row>
    <row r="34" spans="1:1" x14ac:dyDescent="0.55000000000000004">
      <c r="A34"/>
    </row>
    <row r="35" spans="1:1" x14ac:dyDescent="0.55000000000000004">
      <c r="A35"/>
    </row>
    <row r="36" spans="1:1" x14ac:dyDescent="0.55000000000000004">
      <c r="A36"/>
    </row>
    <row r="37" spans="1:1" x14ac:dyDescent="0.55000000000000004">
      <c r="A37"/>
    </row>
    <row r="38" spans="1:1" x14ac:dyDescent="0.55000000000000004">
      <c r="A38"/>
    </row>
    <row r="39" spans="1:1" x14ac:dyDescent="0.55000000000000004">
      <c r="A39"/>
    </row>
    <row r="40" spans="1:1" x14ac:dyDescent="0.55000000000000004">
      <c r="A40"/>
    </row>
    <row r="41" spans="1:1" x14ac:dyDescent="0.55000000000000004">
      <c r="A41"/>
    </row>
    <row r="42" spans="1:1" x14ac:dyDescent="0.55000000000000004">
      <c r="A42"/>
    </row>
    <row r="43" spans="1:1" x14ac:dyDescent="0.55000000000000004">
      <c r="A43"/>
    </row>
    <row r="44" spans="1:1" x14ac:dyDescent="0.55000000000000004">
      <c r="A44"/>
    </row>
    <row r="45" spans="1:1" x14ac:dyDescent="0.55000000000000004">
      <c r="A45"/>
    </row>
    <row r="46" spans="1:1" x14ac:dyDescent="0.55000000000000004">
      <c r="A46"/>
    </row>
    <row r="47" spans="1:1" x14ac:dyDescent="0.55000000000000004">
      <c r="A47"/>
    </row>
    <row r="48" spans="1:1" x14ac:dyDescent="0.55000000000000004">
      <c r="A48"/>
    </row>
    <row r="49" spans="1:1" x14ac:dyDescent="0.55000000000000004">
      <c r="A49"/>
    </row>
  </sheetData>
  <phoneticPr fontId="1"/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6145" r:id="rId4" name="GoToRegistDataBtn">
          <controlPr defaultSize="0" autoLine="0" autoPict="0" r:id="rId5">
            <anchor moveWithCells="1">
              <from>
                <xdr:col>11</xdr:col>
                <xdr:colOff>114300</xdr:colOff>
                <xdr:row>0</xdr:row>
                <xdr:rowOff>31750</xdr:rowOff>
              </from>
              <to>
                <xdr:col>13</xdr:col>
                <xdr:colOff>273050</xdr:colOff>
                <xdr:row>0</xdr:row>
                <xdr:rowOff>381000</xdr:rowOff>
              </to>
            </anchor>
          </controlPr>
        </control>
      </mc:Choice>
      <mc:Fallback>
        <control shapeId="6145" r:id="rId4" name="GoToRegistDataBtn"/>
      </mc:Fallback>
    </mc:AlternateContent>
    <mc:AlternateContent xmlns:mc="http://schemas.openxmlformats.org/markup-compatibility/2006">
      <mc:Choice Requires="x14">
        <control shapeId="6146" r:id="rId6" name="ImportDataBtn">
          <controlPr defaultSize="0" autoLine="0" autoPict="0" r:id="rId7">
            <anchor moveWithCells="1">
              <from>
                <xdr:col>11</xdr:col>
                <xdr:colOff>114300</xdr:colOff>
                <xdr:row>1</xdr:row>
                <xdr:rowOff>139700</xdr:rowOff>
              </from>
              <to>
                <xdr:col>13</xdr:col>
                <xdr:colOff>273050</xdr:colOff>
                <xdr:row>3</xdr:row>
                <xdr:rowOff>25400</xdr:rowOff>
              </to>
            </anchor>
          </controlPr>
        </control>
      </mc:Choice>
      <mc:Fallback>
        <control shapeId="6146" r:id="rId6" name="ImportDataBtn"/>
      </mc:Fallback>
    </mc:AlternateContent>
    <mc:AlternateContent xmlns:mc="http://schemas.openxmlformats.org/markup-compatibility/2006">
      <mc:Choice Requires="x14">
        <control shapeId="6147" r:id="rId8" name="ExportDataBtn">
          <controlPr defaultSize="0" autoLine="0" r:id="rId9">
            <anchor moveWithCells="1">
              <from>
                <xdr:col>11</xdr:col>
                <xdr:colOff>114300</xdr:colOff>
                <xdr:row>3</xdr:row>
                <xdr:rowOff>203200</xdr:rowOff>
              </from>
              <to>
                <xdr:col>13</xdr:col>
                <xdr:colOff>273050</xdr:colOff>
                <xdr:row>5</xdr:row>
                <xdr:rowOff>95250</xdr:rowOff>
              </to>
            </anchor>
          </controlPr>
        </control>
      </mc:Choice>
      <mc:Fallback>
        <control shapeId="6147" r:id="rId8" name="ExportDataBtn"/>
      </mc:Fallback>
    </mc:AlternateContent>
    <mc:AlternateContent xmlns:mc="http://schemas.openxmlformats.org/markup-compatibility/2006">
      <mc:Choice Requires="x14">
        <control shapeId="6148" r:id="rId10" name="DeleteDataBtn">
          <controlPr defaultSize="0" autoLine="0" r:id="rId11">
            <anchor moveWithCells="1">
              <from>
                <xdr:col>11</xdr:col>
                <xdr:colOff>114300</xdr:colOff>
                <xdr:row>6</xdr:row>
                <xdr:rowOff>38100</xdr:rowOff>
              </from>
              <to>
                <xdr:col>13</xdr:col>
                <xdr:colOff>273050</xdr:colOff>
                <xdr:row>7</xdr:row>
                <xdr:rowOff>158750</xdr:rowOff>
              </to>
            </anchor>
          </controlPr>
        </control>
      </mc:Choice>
      <mc:Fallback>
        <control shapeId="6148" r:id="rId10" name="DeleteDataBt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A5409-ED59-4EE7-8A57-8A2296F36E9C}">
  <sheetPr codeName="Sheet8"/>
  <dimension ref="A1:C81"/>
  <sheetViews>
    <sheetView workbookViewId="0">
      <selection sqref="A1:C1"/>
    </sheetView>
  </sheetViews>
  <sheetFormatPr defaultRowHeight="18" x14ac:dyDescent="0.55000000000000004"/>
  <cols>
    <col min="1" max="1" width="26.1640625" style="5" customWidth="1"/>
    <col min="2" max="2" width="12.75" style="5" hidden="1" customWidth="1"/>
    <col min="3" max="3" width="14.75" style="5" customWidth="1"/>
    <col min="4" max="4" width="24.5" customWidth="1"/>
  </cols>
  <sheetData>
    <row r="1" spans="1:3" ht="25" customHeight="1" x14ac:dyDescent="0.55000000000000004">
      <c r="A1" s="56" t="s">
        <v>391</v>
      </c>
      <c r="B1" s="56"/>
      <c r="C1" s="56"/>
    </row>
    <row r="2" spans="1:3" ht="6.5" customHeight="1" x14ac:dyDescent="0.55000000000000004"/>
    <row r="3" spans="1:3" ht="25" customHeight="1" x14ac:dyDescent="0.55000000000000004">
      <c r="A3" s="8" t="s">
        <v>384</v>
      </c>
      <c r="B3" s="8" t="str">
        <f>VLOOKUP(C3,Storage!C:D,2,FALSE)</f>
        <v>jp</v>
      </c>
      <c r="C3" s="44" t="s">
        <v>421</v>
      </c>
    </row>
    <row r="4" spans="1:3" ht="25" customHeight="1" x14ac:dyDescent="0.55000000000000004">
      <c r="A4" s="1"/>
      <c r="B4" s="1"/>
    </row>
    <row r="5" spans="1:3" ht="25" customHeight="1" x14ac:dyDescent="0.55000000000000004">
      <c r="A5" s="1"/>
      <c r="B5" s="1"/>
    </row>
    <row r="6" spans="1:3" ht="25" customHeight="1" x14ac:dyDescent="0.55000000000000004">
      <c r="A6" s="1"/>
      <c r="B6" s="1"/>
    </row>
    <row r="7" spans="1:3" ht="25" customHeight="1" x14ac:dyDescent="0.55000000000000004">
      <c r="A7" s="1"/>
      <c r="B7" s="1"/>
    </row>
    <row r="8" spans="1:3" ht="25" customHeight="1" x14ac:dyDescent="0.55000000000000004">
      <c r="A8" s="1"/>
      <c r="B8" s="1"/>
    </row>
    <row r="9" spans="1:3" ht="25" customHeight="1" x14ac:dyDescent="0.55000000000000004">
      <c r="A9" s="1"/>
      <c r="B9" s="1"/>
    </row>
    <row r="10" spans="1:3" ht="25" customHeight="1" x14ac:dyDescent="0.55000000000000004">
      <c r="A10" s="1"/>
      <c r="B10" s="1"/>
    </row>
    <row r="11" spans="1:3" ht="25" customHeight="1" x14ac:dyDescent="0.55000000000000004">
      <c r="A11" s="1"/>
      <c r="B11" s="1"/>
    </row>
    <row r="12" spans="1:3" ht="25" customHeight="1" x14ac:dyDescent="0.55000000000000004">
      <c r="A12" s="1"/>
      <c r="B12" s="1"/>
    </row>
    <row r="13" spans="1:3" ht="25" customHeight="1" x14ac:dyDescent="0.55000000000000004">
      <c r="A13" s="1"/>
      <c r="B13" s="1"/>
    </row>
    <row r="14" spans="1:3" ht="25" customHeight="1" x14ac:dyDescent="0.55000000000000004">
      <c r="A14" s="1"/>
      <c r="B14" s="1"/>
    </row>
    <row r="15" spans="1:3" ht="25" customHeight="1" x14ac:dyDescent="0.55000000000000004">
      <c r="A15" s="1"/>
      <c r="B15" s="1"/>
    </row>
    <row r="16" spans="1:3" x14ac:dyDescent="0.55000000000000004">
      <c r="A16" s="1"/>
      <c r="B16" s="1"/>
    </row>
    <row r="17" spans="1:2" x14ac:dyDescent="0.55000000000000004">
      <c r="A17" s="1"/>
      <c r="B17" s="1"/>
    </row>
    <row r="18" spans="1:2" x14ac:dyDescent="0.55000000000000004">
      <c r="A18" s="1"/>
      <c r="B18" s="1"/>
    </row>
    <row r="19" spans="1:2" x14ac:dyDescent="0.55000000000000004">
      <c r="A19" s="1"/>
      <c r="B19" s="1"/>
    </row>
    <row r="20" spans="1:2" x14ac:dyDescent="0.55000000000000004">
      <c r="A20" s="1"/>
      <c r="B20" s="1"/>
    </row>
    <row r="21" spans="1:2" x14ac:dyDescent="0.55000000000000004">
      <c r="A21" s="1"/>
      <c r="B21" s="1"/>
    </row>
    <row r="22" spans="1:2" x14ac:dyDescent="0.55000000000000004">
      <c r="A22" s="1"/>
      <c r="B22" s="1"/>
    </row>
    <row r="23" spans="1:2" x14ac:dyDescent="0.55000000000000004">
      <c r="A23" s="1"/>
      <c r="B23" s="1"/>
    </row>
    <row r="24" spans="1:2" x14ac:dyDescent="0.55000000000000004">
      <c r="A24" s="1"/>
      <c r="B24" s="1"/>
    </row>
    <row r="25" spans="1:2" x14ac:dyDescent="0.55000000000000004">
      <c r="A25" s="1"/>
      <c r="B25" s="1"/>
    </row>
    <row r="26" spans="1:2" x14ac:dyDescent="0.55000000000000004">
      <c r="A26" s="1"/>
      <c r="B26" s="1"/>
    </row>
    <row r="27" spans="1:2" x14ac:dyDescent="0.55000000000000004">
      <c r="A27" s="1"/>
      <c r="B27" s="1"/>
    </row>
    <row r="28" spans="1:2" x14ac:dyDescent="0.55000000000000004">
      <c r="A28" s="1"/>
      <c r="B28" s="1"/>
    </row>
    <row r="29" spans="1:2" x14ac:dyDescent="0.55000000000000004">
      <c r="A29" s="1"/>
      <c r="B29" s="1"/>
    </row>
    <row r="30" spans="1:2" x14ac:dyDescent="0.55000000000000004">
      <c r="A30" s="1"/>
      <c r="B30" s="1"/>
    </row>
    <row r="31" spans="1:2" x14ac:dyDescent="0.55000000000000004">
      <c r="A31" s="1"/>
      <c r="B31" s="1"/>
    </row>
    <row r="32" spans="1:2" x14ac:dyDescent="0.55000000000000004">
      <c r="A32" s="1"/>
      <c r="B32" s="1"/>
    </row>
    <row r="33" spans="1:2" x14ac:dyDescent="0.55000000000000004">
      <c r="A33" s="1"/>
      <c r="B33" s="1"/>
    </row>
    <row r="34" spans="1:2" x14ac:dyDescent="0.55000000000000004">
      <c r="A34" s="1"/>
      <c r="B34" s="1"/>
    </row>
    <row r="35" spans="1:2" x14ac:dyDescent="0.55000000000000004">
      <c r="A35" s="1"/>
      <c r="B35" s="1"/>
    </row>
    <row r="36" spans="1:2" x14ac:dyDescent="0.55000000000000004">
      <c r="A36" s="1"/>
      <c r="B36" s="1"/>
    </row>
    <row r="37" spans="1:2" x14ac:dyDescent="0.55000000000000004">
      <c r="A37" s="1"/>
      <c r="B37" s="1"/>
    </row>
    <row r="38" spans="1:2" x14ac:dyDescent="0.55000000000000004">
      <c r="A38" s="1"/>
      <c r="B38" s="1"/>
    </row>
    <row r="39" spans="1:2" x14ac:dyDescent="0.55000000000000004">
      <c r="A39" s="1"/>
      <c r="B39" s="1"/>
    </row>
    <row r="40" spans="1:2" x14ac:dyDescent="0.55000000000000004">
      <c r="A40" s="1"/>
      <c r="B40" s="1"/>
    </row>
    <row r="41" spans="1:2" x14ac:dyDescent="0.55000000000000004">
      <c r="A41" s="1"/>
      <c r="B41" s="1"/>
    </row>
    <row r="42" spans="1:2" x14ac:dyDescent="0.55000000000000004">
      <c r="A42" s="1"/>
      <c r="B42" s="1"/>
    </row>
    <row r="43" spans="1:2" x14ac:dyDescent="0.55000000000000004">
      <c r="A43" s="1"/>
      <c r="B43" s="1"/>
    </row>
    <row r="44" spans="1:2" x14ac:dyDescent="0.55000000000000004">
      <c r="A44" s="1"/>
      <c r="B44" s="1"/>
    </row>
    <row r="45" spans="1:2" x14ac:dyDescent="0.55000000000000004">
      <c r="A45" s="1"/>
      <c r="B45" s="1"/>
    </row>
    <row r="46" spans="1:2" x14ac:dyDescent="0.55000000000000004">
      <c r="A46" s="1"/>
      <c r="B46" s="1"/>
    </row>
    <row r="47" spans="1:2" x14ac:dyDescent="0.55000000000000004">
      <c r="A47" s="1"/>
      <c r="B47" s="1"/>
    </row>
    <row r="48" spans="1:2" x14ac:dyDescent="0.55000000000000004">
      <c r="A48" s="1"/>
      <c r="B48" s="1"/>
    </row>
    <row r="49" spans="1:2" x14ac:dyDescent="0.55000000000000004">
      <c r="A49" s="1"/>
      <c r="B49" s="1"/>
    </row>
    <row r="50" spans="1:2" x14ac:dyDescent="0.55000000000000004">
      <c r="A50" s="1"/>
      <c r="B50" s="1"/>
    </row>
    <row r="51" spans="1:2" x14ac:dyDescent="0.55000000000000004">
      <c r="A51" s="1"/>
      <c r="B51" s="1"/>
    </row>
    <row r="52" spans="1:2" x14ac:dyDescent="0.55000000000000004">
      <c r="A52" s="1"/>
      <c r="B52" s="1"/>
    </row>
    <row r="53" spans="1:2" x14ac:dyDescent="0.55000000000000004">
      <c r="A53" s="1"/>
      <c r="B53" s="1"/>
    </row>
    <row r="54" spans="1:2" x14ac:dyDescent="0.55000000000000004">
      <c r="A54" s="1"/>
      <c r="B54" s="1"/>
    </row>
    <row r="55" spans="1:2" x14ac:dyDescent="0.55000000000000004">
      <c r="A55" s="1"/>
      <c r="B55" s="1"/>
    </row>
    <row r="56" spans="1:2" x14ac:dyDescent="0.55000000000000004">
      <c r="A56" s="1"/>
      <c r="B56" s="1"/>
    </row>
    <row r="57" spans="1:2" x14ac:dyDescent="0.55000000000000004">
      <c r="A57" s="1"/>
      <c r="B57" s="1"/>
    </row>
    <row r="58" spans="1:2" x14ac:dyDescent="0.55000000000000004">
      <c r="A58" s="1"/>
      <c r="B58" s="1"/>
    </row>
    <row r="59" spans="1:2" x14ac:dyDescent="0.55000000000000004">
      <c r="A59" s="1"/>
      <c r="B59" s="1"/>
    </row>
    <row r="60" spans="1:2" x14ac:dyDescent="0.55000000000000004">
      <c r="A60" s="1"/>
      <c r="B60" s="1"/>
    </row>
    <row r="61" spans="1:2" x14ac:dyDescent="0.55000000000000004">
      <c r="A61" s="1"/>
      <c r="B61" s="1"/>
    </row>
    <row r="62" spans="1:2" x14ac:dyDescent="0.55000000000000004">
      <c r="A62" s="1"/>
      <c r="B62" s="1"/>
    </row>
    <row r="63" spans="1:2" x14ac:dyDescent="0.55000000000000004">
      <c r="A63" s="1"/>
      <c r="B63" s="1"/>
    </row>
    <row r="64" spans="1:2" x14ac:dyDescent="0.55000000000000004">
      <c r="A64" s="1"/>
      <c r="B64" s="1"/>
    </row>
    <row r="65" spans="1:3" x14ac:dyDescent="0.55000000000000004">
      <c r="A65" s="1"/>
      <c r="B65" s="1"/>
    </row>
    <row r="66" spans="1:3" x14ac:dyDescent="0.55000000000000004">
      <c r="A66" s="3"/>
      <c r="B66" s="3"/>
      <c r="C66" s="6"/>
    </row>
    <row r="67" spans="1:3" x14ac:dyDescent="0.55000000000000004">
      <c r="A67" s="2"/>
      <c r="B67" s="2"/>
      <c r="C67" s="7"/>
    </row>
    <row r="68" spans="1:3" x14ac:dyDescent="0.55000000000000004">
      <c r="A68" s="2"/>
      <c r="B68" s="2"/>
      <c r="C68" s="7"/>
    </row>
    <row r="69" spans="1:3" x14ac:dyDescent="0.55000000000000004">
      <c r="A69" s="2"/>
      <c r="B69" s="2"/>
      <c r="C69" s="7"/>
    </row>
    <row r="70" spans="1:3" x14ac:dyDescent="0.55000000000000004">
      <c r="A70" s="2"/>
      <c r="B70" s="2"/>
      <c r="C70" s="7"/>
    </row>
    <row r="71" spans="1:3" x14ac:dyDescent="0.55000000000000004">
      <c r="A71" s="2"/>
      <c r="B71" s="2"/>
      <c r="C71" s="7"/>
    </row>
    <row r="72" spans="1:3" x14ac:dyDescent="0.55000000000000004">
      <c r="A72" s="2"/>
      <c r="B72" s="2"/>
      <c r="C72" s="7"/>
    </row>
    <row r="73" spans="1:3" x14ac:dyDescent="0.55000000000000004">
      <c r="A73" s="2"/>
      <c r="B73" s="2"/>
      <c r="C73" s="7"/>
    </row>
    <row r="74" spans="1:3" x14ac:dyDescent="0.55000000000000004">
      <c r="A74" s="1"/>
      <c r="B74" s="1"/>
    </row>
    <row r="75" spans="1:3" x14ac:dyDescent="0.55000000000000004">
      <c r="A75" s="1"/>
      <c r="B75" s="1"/>
    </row>
    <row r="76" spans="1:3" x14ac:dyDescent="0.55000000000000004">
      <c r="A76" s="1"/>
      <c r="B76" s="1"/>
    </row>
    <row r="77" spans="1:3" x14ac:dyDescent="0.55000000000000004">
      <c r="A77" s="1"/>
      <c r="B77" s="1"/>
    </row>
    <row r="78" spans="1:3" x14ac:dyDescent="0.55000000000000004">
      <c r="A78" s="1"/>
      <c r="B78" s="1"/>
    </row>
    <row r="79" spans="1:3" x14ac:dyDescent="0.55000000000000004">
      <c r="A79" s="1"/>
      <c r="B79" s="1"/>
    </row>
    <row r="80" spans="1:3" x14ac:dyDescent="0.55000000000000004">
      <c r="A80" s="1"/>
      <c r="B80" s="1"/>
    </row>
    <row r="81" spans="1:2" x14ac:dyDescent="0.55000000000000004">
      <c r="A81" s="1"/>
      <c r="B81" s="1"/>
    </row>
  </sheetData>
  <sheetProtection algorithmName="SHA-512" hashValue="zGtjMjo9JXnVxefk5bXGmGmZlVP/BKpargZ3cgfYHLPyjbKNicyi5tneUwVjGxzB5SVpsjWZ4jRyNGvNDYywdw==" saltValue="dbR/30v2lwQzJftaXNU4bA==" spinCount="100000" sheet="1" objects="1" scenarios="1" selectLockedCells="1"/>
  <mergeCells count="1">
    <mergeCell ref="A1:C1"/>
  </mergeCells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RestartButton">
          <controlPr defaultSize="0" autoLine="0" r:id="rId4">
            <anchor moveWithCells="1">
              <from>
                <xdr:col>3</xdr:col>
                <xdr:colOff>317500</xdr:colOff>
                <xdr:row>1</xdr:row>
                <xdr:rowOff>0</xdr:rowOff>
              </from>
              <to>
                <xdr:col>3</xdr:col>
                <xdr:colOff>1587500</xdr:colOff>
                <xdr:row>3</xdr:row>
                <xdr:rowOff>152400</xdr:rowOff>
              </to>
            </anchor>
          </controlPr>
        </control>
      </mc:Choice>
      <mc:Fallback>
        <control shapeId="2049" r:id="rId3" name="RestartButto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5BBCB509-1BC9-4ED5-AD9B-2531C1CE9B34}">
          <x14:formula1>
            <xm:f>Storage!$C$1:$C$2</xm:f>
          </x14:formula1>
          <xm:sqref>C3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324E7-5217-4E08-AF86-A927886EFFF0}">
  <sheetPr codeName="Sheet7"/>
  <dimension ref="A1:F81"/>
  <sheetViews>
    <sheetView topLeftCell="D1" workbookViewId="0">
      <selection activeCell="G1" sqref="G1"/>
    </sheetView>
  </sheetViews>
  <sheetFormatPr defaultRowHeight="18" x14ac:dyDescent="0.55000000000000004"/>
  <cols>
    <col min="1" max="2" width="30.08203125" style="5" customWidth="1"/>
    <col min="3" max="3" width="16.83203125" customWidth="1"/>
    <col min="4" max="4" width="15.6640625" customWidth="1"/>
    <col min="5" max="5" width="12.6640625" customWidth="1"/>
    <col min="6" max="6" width="12.58203125" customWidth="1"/>
  </cols>
  <sheetData>
    <row r="1" spans="1:6" x14ac:dyDescent="0.55000000000000004">
      <c r="A1" s="5" t="s">
        <v>418</v>
      </c>
      <c r="C1" s="1" t="s">
        <v>389</v>
      </c>
      <c r="D1" s="1" t="s">
        <v>387</v>
      </c>
      <c r="E1" t="s">
        <v>417</v>
      </c>
      <c r="F1" t="s">
        <v>417</v>
      </c>
    </row>
    <row r="2" spans="1:6" x14ac:dyDescent="0.55000000000000004">
      <c r="A2" s="1" t="s">
        <v>0</v>
      </c>
      <c r="B2" s="1" t="s">
        <v>24</v>
      </c>
      <c r="C2" s="1" t="s">
        <v>390</v>
      </c>
      <c r="D2" s="1" t="s">
        <v>388</v>
      </c>
      <c r="E2" s="1" t="s">
        <v>367</v>
      </c>
      <c r="F2" s="1" t="s">
        <v>401</v>
      </c>
    </row>
    <row r="3" spans="1:6" x14ac:dyDescent="0.55000000000000004">
      <c r="A3" s="1" t="s">
        <v>1</v>
      </c>
      <c r="B3" s="1" t="s">
        <v>25</v>
      </c>
      <c r="C3" s="1"/>
      <c r="E3" s="1" t="s">
        <v>368</v>
      </c>
      <c r="F3" s="1" t="s">
        <v>402</v>
      </c>
    </row>
    <row r="4" spans="1:6" x14ac:dyDescent="0.55000000000000004">
      <c r="A4" s="1" t="s">
        <v>2</v>
      </c>
      <c r="B4" s="1" t="s">
        <v>26</v>
      </c>
      <c r="E4" s="1" t="s">
        <v>369</v>
      </c>
      <c r="F4" s="1" t="s">
        <v>403</v>
      </c>
    </row>
    <row r="5" spans="1:6" x14ac:dyDescent="0.55000000000000004">
      <c r="A5" s="1" t="s">
        <v>3</v>
      </c>
      <c r="B5" s="1" t="s">
        <v>27</v>
      </c>
      <c r="E5" s="1" t="s">
        <v>370</v>
      </c>
      <c r="F5" s="1" t="s">
        <v>404</v>
      </c>
    </row>
    <row r="6" spans="1:6" x14ac:dyDescent="0.55000000000000004">
      <c r="A6" s="1" t="s">
        <v>4</v>
      </c>
      <c r="B6" s="1" t="s">
        <v>28</v>
      </c>
      <c r="E6" s="1" t="s">
        <v>371</v>
      </c>
      <c r="F6" s="1" t="s">
        <v>405</v>
      </c>
    </row>
    <row r="7" spans="1:6" x14ac:dyDescent="0.55000000000000004">
      <c r="A7" s="1" t="s">
        <v>5</v>
      </c>
      <c r="B7" s="1" t="s">
        <v>29</v>
      </c>
      <c r="E7" s="1" t="s">
        <v>372</v>
      </c>
    </row>
    <row r="8" spans="1:6" x14ac:dyDescent="0.55000000000000004">
      <c r="A8" s="1" t="s">
        <v>6</v>
      </c>
      <c r="B8" s="1" t="s">
        <v>30</v>
      </c>
      <c r="E8" s="1" t="s">
        <v>373</v>
      </c>
    </row>
    <row r="9" spans="1:6" x14ac:dyDescent="0.55000000000000004">
      <c r="A9" s="1" t="s">
        <v>7</v>
      </c>
      <c r="B9" s="1" t="s">
        <v>31</v>
      </c>
      <c r="E9" s="1" t="s">
        <v>374</v>
      </c>
    </row>
    <row r="10" spans="1:6" x14ac:dyDescent="0.55000000000000004">
      <c r="A10" s="1" t="s">
        <v>173</v>
      </c>
      <c r="B10" s="1" t="s">
        <v>32</v>
      </c>
      <c r="E10" s="1" t="s">
        <v>375</v>
      </c>
    </row>
    <row r="11" spans="1:6" x14ac:dyDescent="0.55000000000000004">
      <c r="A11" s="1" t="s">
        <v>8</v>
      </c>
      <c r="B11" s="1" t="s">
        <v>33</v>
      </c>
      <c r="E11" s="1" t="s">
        <v>376</v>
      </c>
    </row>
    <row r="12" spans="1:6" x14ac:dyDescent="0.55000000000000004">
      <c r="A12" s="1" t="s">
        <v>9</v>
      </c>
      <c r="B12" s="1" t="s">
        <v>34</v>
      </c>
      <c r="E12" s="1" t="s">
        <v>377</v>
      </c>
    </row>
    <row r="13" spans="1:6" x14ac:dyDescent="0.55000000000000004">
      <c r="A13" s="1" t="s">
        <v>10</v>
      </c>
      <c r="B13" s="1" t="s">
        <v>35</v>
      </c>
      <c r="E13" s="1" t="s">
        <v>378</v>
      </c>
    </row>
    <row r="14" spans="1:6" x14ac:dyDescent="0.55000000000000004">
      <c r="A14" s="1" t="s">
        <v>11</v>
      </c>
      <c r="B14" s="1" t="s">
        <v>36</v>
      </c>
      <c r="E14" s="1" t="s">
        <v>379</v>
      </c>
    </row>
    <row r="15" spans="1:6" x14ac:dyDescent="0.55000000000000004">
      <c r="A15" s="1" t="s">
        <v>12</v>
      </c>
      <c r="B15" s="1" t="s">
        <v>37</v>
      </c>
      <c r="E15" s="1" t="s">
        <v>380</v>
      </c>
    </row>
    <row r="16" spans="1:6" x14ac:dyDescent="0.55000000000000004">
      <c r="A16" s="1" t="s">
        <v>13</v>
      </c>
      <c r="B16" s="1" t="s">
        <v>38</v>
      </c>
      <c r="E16" s="1" t="s">
        <v>381</v>
      </c>
    </row>
    <row r="17" spans="1:5" x14ac:dyDescent="0.55000000000000004">
      <c r="A17" s="1" t="s">
        <v>14</v>
      </c>
      <c r="B17" s="1" t="s">
        <v>39</v>
      </c>
      <c r="E17" s="1" t="s">
        <v>398</v>
      </c>
    </row>
    <row r="18" spans="1:5" x14ac:dyDescent="0.55000000000000004">
      <c r="A18" s="1" t="s">
        <v>174</v>
      </c>
      <c r="B18" s="1" t="s">
        <v>40</v>
      </c>
      <c r="E18" s="1"/>
    </row>
    <row r="19" spans="1:5" x14ac:dyDescent="0.55000000000000004">
      <c r="A19" s="1" t="s">
        <v>175</v>
      </c>
      <c r="B19" s="1" t="s">
        <v>41</v>
      </c>
    </row>
    <row r="20" spans="1:5" x14ac:dyDescent="0.55000000000000004">
      <c r="A20" s="1" t="s">
        <v>176</v>
      </c>
      <c r="B20" s="1" t="s">
        <v>42</v>
      </c>
    </row>
    <row r="21" spans="1:5" x14ac:dyDescent="0.55000000000000004">
      <c r="A21" s="1" t="s">
        <v>177</v>
      </c>
      <c r="B21" s="1" t="s">
        <v>43</v>
      </c>
    </row>
    <row r="22" spans="1:5" x14ac:dyDescent="0.55000000000000004">
      <c r="A22" s="1" t="s">
        <v>178</v>
      </c>
      <c r="B22" s="1" t="s">
        <v>44</v>
      </c>
    </row>
    <row r="23" spans="1:5" x14ac:dyDescent="0.55000000000000004">
      <c r="A23" s="1" t="s">
        <v>179</v>
      </c>
      <c r="B23" s="1" t="s">
        <v>45</v>
      </c>
    </row>
    <row r="24" spans="1:5" x14ac:dyDescent="0.55000000000000004">
      <c r="A24" s="1" t="s">
        <v>180</v>
      </c>
      <c r="B24" s="1" t="s">
        <v>46</v>
      </c>
    </row>
    <row r="25" spans="1:5" x14ac:dyDescent="0.55000000000000004">
      <c r="A25" s="1" t="s">
        <v>181</v>
      </c>
      <c r="B25" s="1" t="s">
        <v>47</v>
      </c>
    </row>
    <row r="26" spans="1:5" x14ac:dyDescent="0.55000000000000004">
      <c r="A26" s="1" t="s">
        <v>182</v>
      </c>
      <c r="B26" s="1" t="s">
        <v>48</v>
      </c>
    </row>
    <row r="27" spans="1:5" x14ac:dyDescent="0.55000000000000004">
      <c r="A27" s="1" t="s">
        <v>183</v>
      </c>
      <c r="B27" s="1" t="s">
        <v>49</v>
      </c>
    </row>
    <row r="28" spans="1:5" x14ac:dyDescent="0.55000000000000004">
      <c r="A28" s="1" t="s">
        <v>184</v>
      </c>
      <c r="B28" s="1" t="s">
        <v>50</v>
      </c>
    </row>
    <row r="29" spans="1:5" x14ac:dyDescent="0.55000000000000004">
      <c r="A29" s="1" t="s">
        <v>185</v>
      </c>
      <c r="B29" s="1" t="s">
        <v>51</v>
      </c>
    </row>
    <row r="30" spans="1:5" x14ac:dyDescent="0.55000000000000004">
      <c r="A30" s="1" t="s">
        <v>186</v>
      </c>
      <c r="B30" s="1" t="s">
        <v>52</v>
      </c>
    </row>
    <row r="31" spans="1:5" x14ac:dyDescent="0.55000000000000004">
      <c r="A31" s="1" t="s">
        <v>187</v>
      </c>
      <c r="B31" s="1" t="s">
        <v>53</v>
      </c>
    </row>
    <row r="32" spans="1:5" x14ac:dyDescent="0.55000000000000004">
      <c r="A32" s="1" t="s">
        <v>188</v>
      </c>
      <c r="B32" s="1" t="s">
        <v>54</v>
      </c>
    </row>
    <row r="33" spans="1:2" x14ac:dyDescent="0.55000000000000004">
      <c r="A33" s="1" t="s">
        <v>189</v>
      </c>
      <c r="B33" s="1" t="s">
        <v>55</v>
      </c>
    </row>
    <row r="34" spans="1:2" x14ac:dyDescent="0.55000000000000004">
      <c r="A34" s="1" t="s">
        <v>190</v>
      </c>
      <c r="B34" s="1" t="s">
        <v>56</v>
      </c>
    </row>
    <row r="35" spans="1:2" x14ac:dyDescent="0.55000000000000004">
      <c r="A35" s="1" t="s">
        <v>15</v>
      </c>
      <c r="B35" s="1" t="s">
        <v>57</v>
      </c>
    </row>
    <row r="36" spans="1:2" x14ac:dyDescent="0.55000000000000004">
      <c r="A36" s="1" t="s">
        <v>16</v>
      </c>
      <c r="B36" s="1" t="s">
        <v>58</v>
      </c>
    </row>
    <row r="37" spans="1:2" x14ac:dyDescent="0.55000000000000004">
      <c r="A37" s="1" t="s">
        <v>17</v>
      </c>
      <c r="B37" s="1" t="s">
        <v>59</v>
      </c>
    </row>
    <row r="38" spans="1:2" x14ac:dyDescent="0.55000000000000004">
      <c r="A38" s="1" t="s">
        <v>191</v>
      </c>
      <c r="B38" s="1" t="s">
        <v>60</v>
      </c>
    </row>
    <row r="39" spans="1:2" x14ac:dyDescent="0.55000000000000004">
      <c r="A39" s="1" t="s">
        <v>192</v>
      </c>
      <c r="B39" s="1" t="s">
        <v>61</v>
      </c>
    </row>
    <row r="40" spans="1:2" x14ac:dyDescent="0.55000000000000004">
      <c r="A40" s="1" t="s">
        <v>20</v>
      </c>
      <c r="B40" s="1" t="s">
        <v>66</v>
      </c>
    </row>
    <row r="41" spans="1:2" x14ac:dyDescent="0.55000000000000004">
      <c r="A41" s="1" t="s">
        <v>21</v>
      </c>
      <c r="B41" s="1" t="s">
        <v>67</v>
      </c>
    </row>
    <row r="42" spans="1:2" x14ac:dyDescent="0.55000000000000004">
      <c r="A42" s="1" t="s">
        <v>193</v>
      </c>
      <c r="B42" s="1" t="s">
        <v>62</v>
      </c>
    </row>
    <row r="43" spans="1:2" x14ac:dyDescent="0.55000000000000004">
      <c r="A43" s="1" t="s">
        <v>194</v>
      </c>
      <c r="B43" s="1" t="s">
        <v>63</v>
      </c>
    </row>
    <row r="44" spans="1:2" x14ac:dyDescent="0.55000000000000004">
      <c r="A44" s="1" t="s">
        <v>18</v>
      </c>
      <c r="B44" s="1" t="s">
        <v>64</v>
      </c>
    </row>
    <row r="45" spans="1:2" x14ac:dyDescent="0.55000000000000004">
      <c r="A45" s="1" t="s">
        <v>19</v>
      </c>
      <c r="B45" s="1" t="s">
        <v>65</v>
      </c>
    </row>
    <row r="46" spans="1:2" x14ac:dyDescent="0.55000000000000004">
      <c r="A46" s="1" t="s">
        <v>195</v>
      </c>
      <c r="B46" s="1" t="s">
        <v>68</v>
      </c>
    </row>
    <row r="47" spans="1:2" x14ac:dyDescent="0.55000000000000004">
      <c r="A47" s="1" t="s">
        <v>196</v>
      </c>
      <c r="B47" s="1" t="s">
        <v>69</v>
      </c>
    </row>
    <row r="48" spans="1:2" x14ac:dyDescent="0.55000000000000004">
      <c r="A48" s="1" t="s">
        <v>22</v>
      </c>
      <c r="B48" s="1" t="s">
        <v>70</v>
      </c>
    </row>
    <row r="49" spans="1:2" x14ac:dyDescent="0.55000000000000004">
      <c r="A49" s="1" t="s">
        <v>23</v>
      </c>
      <c r="B49" s="1" t="s">
        <v>71</v>
      </c>
    </row>
    <row r="50" spans="1:2" x14ac:dyDescent="0.55000000000000004">
      <c r="A50" s="1" t="s">
        <v>392</v>
      </c>
      <c r="B50" s="1" t="s">
        <v>72</v>
      </c>
    </row>
    <row r="51" spans="1:2" x14ac:dyDescent="0.55000000000000004">
      <c r="A51" s="1" t="s">
        <v>197</v>
      </c>
      <c r="B51" s="1" t="s">
        <v>73</v>
      </c>
    </row>
    <row r="52" spans="1:2" x14ac:dyDescent="0.55000000000000004">
      <c r="A52" s="1" t="s">
        <v>198</v>
      </c>
      <c r="B52" s="1" t="s">
        <v>75</v>
      </c>
    </row>
    <row r="53" spans="1:2" x14ac:dyDescent="0.55000000000000004">
      <c r="A53" s="1" t="s">
        <v>199</v>
      </c>
      <c r="B53" s="1" t="s">
        <v>76</v>
      </c>
    </row>
    <row r="54" spans="1:2" x14ac:dyDescent="0.55000000000000004">
      <c r="A54" s="1" t="s">
        <v>200</v>
      </c>
      <c r="B54" s="1" t="s">
        <v>74</v>
      </c>
    </row>
    <row r="55" spans="1:2" x14ac:dyDescent="0.55000000000000004">
      <c r="A55" s="1" t="s">
        <v>201</v>
      </c>
      <c r="B55" s="1" t="s">
        <v>77</v>
      </c>
    </row>
    <row r="56" spans="1:2" x14ac:dyDescent="0.55000000000000004">
      <c r="A56" s="1" t="s">
        <v>202</v>
      </c>
      <c r="B56" s="1" t="s">
        <v>78</v>
      </c>
    </row>
    <row r="57" spans="1:2" x14ac:dyDescent="0.55000000000000004">
      <c r="A57" s="1" t="s">
        <v>203</v>
      </c>
      <c r="B57" s="1" t="s">
        <v>79</v>
      </c>
    </row>
    <row r="58" spans="1:2" x14ac:dyDescent="0.55000000000000004">
      <c r="A58" s="1" t="s">
        <v>204</v>
      </c>
      <c r="B58" s="1" t="s">
        <v>84</v>
      </c>
    </row>
    <row r="59" spans="1:2" x14ac:dyDescent="0.55000000000000004">
      <c r="A59" s="1" t="s">
        <v>205</v>
      </c>
      <c r="B59" s="1" t="s">
        <v>82</v>
      </c>
    </row>
    <row r="60" spans="1:2" x14ac:dyDescent="0.55000000000000004">
      <c r="A60" s="1" t="s">
        <v>206</v>
      </c>
      <c r="B60" s="1" t="s">
        <v>81</v>
      </c>
    </row>
    <row r="61" spans="1:2" x14ac:dyDescent="0.55000000000000004">
      <c r="A61" s="1" t="s">
        <v>207</v>
      </c>
      <c r="B61" s="1" t="s">
        <v>85</v>
      </c>
    </row>
    <row r="62" spans="1:2" x14ac:dyDescent="0.55000000000000004">
      <c r="A62" s="1" t="s">
        <v>208</v>
      </c>
      <c r="B62" s="1" t="s">
        <v>86</v>
      </c>
    </row>
    <row r="63" spans="1:2" x14ac:dyDescent="0.55000000000000004">
      <c r="A63" s="1" t="s">
        <v>209</v>
      </c>
      <c r="B63" s="1" t="s">
        <v>87</v>
      </c>
    </row>
    <row r="64" spans="1:2" x14ac:dyDescent="0.55000000000000004">
      <c r="A64" s="1" t="s">
        <v>210</v>
      </c>
      <c r="B64" s="1" t="s">
        <v>83</v>
      </c>
    </row>
    <row r="65" spans="1:2" x14ac:dyDescent="0.55000000000000004">
      <c r="A65" s="1" t="s">
        <v>80</v>
      </c>
      <c r="B65" s="1" t="s">
        <v>88</v>
      </c>
    </row>
    <row r="66" spans="1:2" x14ac:dyDescent="0.55000000000000004">
      <c r="A66" s="3" t="s">
        <v>211</v>
      </c>
      <c r="B66" s="2" t="s">
        <v>89</v>
      </c>
    </row>
    <row r="67" spans="1:2" x14ac:dyDescent="0.55000000000000004">
      <c r="A67" s="2" t="s">
        <v>212</v>
      </c>
      <c r="B67" s="2" t="s">
        <v>90</v>
      </c>
    </row>
    <row r="68" spans="1:2" x14ac:dyDescent="0.55000000000000004">
      <c r="A68" s="2" t="s">
        <v>213</v>
      </c>
      <c r="B68" s="2" t="s">
        <v>91</v>
      </c>
    </row>
    <row r="69" spans="1:2" x14ac:dyDescent="0.55000000000000004">
      <c r="A69" s="2" t="s">
        <v>214</v>
      </c>
      <c r="B69" s="2" t="s">
        <v>92</v>
      </c>
    </row>
    <row r="70" spans="1:2" x14ac:dyDescent="0.55000000000000004">
      <c r="A70" s="2" t="s">
        <v>215</v>
      </c>
      <c r="B70" s="2" t="s">
        <v>93</v>
      </c>
    </row>
    <row r="71" spans="1:2" x14ac:dyDescent="0.55000000000000004">
      <c r="A71" s="2" t="s">
        <v>216</v>
      </c>
      <c r="B71" s="2" t="s">
        <v>94</v>
      </c>
    </row>
    <row r="72" spans="1:2" x14ac:dyDescent="0.55000000000000004">
      <c r="A72" s="2" t="s">
        <v>217</v>
      </c>
      <c r="B72" s="2" t="s">
        <v>95</v>
      </c>
    </row>
    <row r="73" spans="1:2" x14ac:dyDescent="0.55000000000000004">
      <c r="A73" s="2" t="s">
        <v>218</v>
      </c>
      <c r="B73" s="2" t="s">
        <v>96</v>
      </c>
    </row>
    <row r="74" spans="1:2" x14ac:dyDescent="0.55000000000000004">
      <c r="A74" s="1" t="s">
        <v>219</v>
      </c>
      <c r="B74" s="1" t="s">
        <v>308</v>
      </c>
    </row>
    <row r="75" spans="1:2" x14ac:dyDescent="0.55000000000000004">
      <c r="A75" s="1" t="s">
        <v>220</v>
      </c>
      <c r="B75" s="1" t="s">
        <v>309</v>
      </c>
    </row>
    <row r="76" spans="1:2" x14ac:dyDescent="0.55000000000000004">
      <c r="A76" s="1" t="s">
        <v>221</v>
      </c>
      <c r="B76" s="1" t="s">
        <v>310</v>
      </c>
    </row>
    <row r="77" spans="1:2" x14ac:dyDescent="0.55000000000000004">
      <c r="A77" s="1" t="s">
        <v>222</v>
      </c>
      <c r="B77" s="1" t="s">
        <v>311</v>
      </c>
    </row>
    <row r="78" spans="1:2" x14ac:dyDescent="0.55000000000000004">
      <c r="A78" s="1" t="s">
        <v>223</v>
      </c>
      <c r="B78" s="1" t="s">
        <v>312</v>
      </c>
    </row>
    <row r="79" spans="1:2" x14ac:dyDescent="0.55000000000000004">
      <c r="A79" s="1" t="s">
        <v>305</v>
      </c>
      <c r="B79" s="1" t="s">
        <v>313</v>
      </c>
    </row>
    <row r="80" spans="1:2" x14ac:dyDescent="0.55000000000000004">
      <c r="A80" s="1" t="s">
        <v>224</v>
      </c>
      <c r="B80" s="1" t="s">
        <v>314</v>
      </c>
    </row>
    <row r="81" spans="1:2" x14ac:dyDescent="0.55000000000000004">
      <c r="A81" s="1" t="s">
        <v>225</v>
      </c>
      <c r="B81" s="1" t="s">
        <v>315</v>
      </c>
    </row>
  </sheetData>
  <sheetProtection algorithmName="SHA-512" hashValue="Fkfs6PY+lA/Je+ZRQY+pIfysR2y+Tt8DMPVDBRiEg9Jn3Jc43k1sYjqyFrb1sF97DkpDigmwE/zBS8BbEPk9bg==" saltValue="a++6nXNO7Qntx3yf15jIVQ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90419-8A7F-49D5-A564-06948B612FF4}">
  <sheetPr codeName="Sheet4"/>
  <dimension ref="A1:F81"/>
  <sheetViews>
    <sheetView workbookViewId="0"/>
  </sheetViews>
  <sheetFormatPr defaultRowHeight="18" x14ac:dyDescent="0.55000000000000004"/>
  <cols>
    <col min="1" max="1" width="11.83203125" style="1" customWidth="1"/>
    <col min="2" max="3" width="32.83203125" style="1" customWidth="1"/>
    <col min="4" max="4" width="12.33203125" customWidth="1"/>
    <col min="5" max="5" width="16.9140625" style="1" customWidth="1"/>
    <col min="6" max="6" width="12.6640625" style="1" customWidth="1"/>
    <col min="7" max="16384" width="8.6640625" style="1"/>
  </cols>
  <sheetData>
    <row r="1" spans="1:6" s="4" customFormat="1" x14ac:dyDescent="0.55000000000000004">
      <c r="A1" s="4" t="s">
        <v>97</v>
      </c>
      <c r="B1" s="4" t="s">
        <v>226</v>
      </c>
      <c r="C1" s="4" t="s">
        <v>227</v>
      </c>
      <c r="D1" s="4" t="s">
        <v>325</v>
      </c>
      <c r="E1" s="4" t="s">
        <v>98</v>
      </c>
      <c r="F1" s="4" t="s">
        <v>316</v>
      </c>
    </row>
    <row r="2" spans="1:6" x14ac:dyDescent="0.55000000000000004">
      <c r="A2" s="1" t="s">
        <v>24</v>
      </c>
      <c r="B2" s="1" t="s">
        <v>0</v>
      </c>
      <c r="C2" s="1" t="s">
        <v>228</v>
      </c>
      <c r="D2" s="1" t="s">
        <v>335</v>
      </c>
      <c r="E2" s="1" t="s">
        <v>126</v>
      </c>
      <c r="F2" s="1">
        <v>1</v>
      </c>
    </row>
    <row r="3" spans="1:6" x14ac:dyDescent="0.55000000000000004">
      <c r="A3" s="1" t="s">
        <v>25</v>
      </c>
      <c r="B3" s="1" t="s">
        <v>1</v>
      </c>
      <c r="C3" s="1" t="s">
        <v>229</v>
      </c>
      <c r="D3" s="1" t="s">
        <v>335</v>
      </c>
      <c r="E3" s="1" t="s">
        <v>126</v>
      </c>
      <c r="F3" s="1">
        <v>2</v>
      </c>
    </row>
    <row r="4" spans="1:6" x14ac:dyDescent="0.55000000000000004">
      <c r="A4" s="1" t="s">
        <v>26</v>
      </c>
      <c r="B4" s="1" t="s">
        <v>2</v>
      </c>
      <c r="C4" s="1" t="s">
        <v>230</v>
      </c>
      <c r="D4" s="1" t="s">
        <v>335</v>
      </c>
      <c r="E4" s="1" t="s">
        <v>126</v>
      </c>
      <c r="F4" s="1">
        <v>3</v>
      </c>
    </row>
    <row r="5" spans="1:6" x14ac:dyDescent="0.55000000000000004">
      <c r="A5" s="1" t="s">
        <v>27</v>
      </c>
      <c r="B5" s="1" t="s">
        <v>3</v>
      </c>
      <c r="C5" s="1" t="s">
        <v>231</v>
      </c>
      <c r="D5" s="1" t="s">
        <v>335</v>
      </c>
      <c r="E5" s="1" t="s">
        <v>126</v>
      </c>
      <c r="F5" s="1">
        <v>4</v>
      </c>
    </row>
    <row r="6" spans="1:6" x14ac:dyDescent="0.55000000000000004">
      <c r="A6" s="1" t="s">
        <v>28</v>
      </c>
      <c r="B6" s="1" t="s">
        <v>4</v>
      </c>
      <c r="C6" s="1" t="s">
        <v>232</v>
      </c>
      <c r="D6" s="1" t="s">
        <v>335</v>
      </c>
      <c r="E6" s="1" t="s">
        <v>120</v>
      </c>
      <c r="F6" s="1">
        <v>1</v>
      </c>
    </row>
    <row r="7" spans="1:6" x14ac:dyDescent="0.55000000000000004">
      <c r="A7" s="1" t="s">
        <v>29</v>
      </c>
      <c r="B7" s="1" t="s">
        <v>5</v>
      </c>
      <c r="C7" s="1" t="s">
        <v>233</v>
      </c>
      <c r="D7" s="1" t="s">
        <v>335</v>
      </c>
      <c r="E7" s="1" t="s">
        <v>120</v>
      </c>
      <c r="F7" s="1">
        <v>2</v>
      </c>
    </row>
    <row r="8" spans="1:6" x14ac:dyDescent="0.55000000000000004">
      <c r="A8" s="1" t="s">
        <v>30</v>
      </c>
      <c r="B8" s="1" t="s">
        <v>6</v>
      </c>
      <c r="C8" s="1" t="s">
        <v>234</v>
      </c>
      <c r="D8" s="1" t="s">
        <v>335</v>
      </c>
      <c r="E8" s="1" t="s">
        <v>120</v>
      </c>
      <c r="F8" s="1">
        <v>3</v>
      </c>
    </row>
    <row r="9" spans="1:6" x14ac:dyDescent="0.55000000000000004">
      <c r="A9" s="1" t="s">
        <v>31</v>
      </c>
      <c r="B9" s="1" t="s">
        <v>7</v>
      </c>
      <c r="C9" s="1" t="s">
        <v>235</v>
      </c>
      <c r="D9" s="1" t="s">
        <v>335</v>
      </c>
      <c r="E9" s="1" t="s">
        <v>120</v>
      </c>
      <c r="F9" s="1">
        <v>4</v>
      </c>
    </row>
    <row r="10" spans="1:6" x14ac:dyDescent="0.55000000000000004">
      <c r="A10" s="1" t="s">
        <v>32</v>
      </c>
      <c r="B10" s="1" t="s">
        <v>173</v>
      </c>
      <c r="C10" s="1" t="s">
        <v>236</v>
      </c>
      <c r="D10" s="1" t="s">
        <v>335</v>
      </c>
      <c r="E10" s="1" t="s">
        <v>121</v>
      </c>
      <c r="F10" s="1">
        <v>1</v>
      </c>
    </row>
    <row r="11" spans="1:6" x14ac:dyDescent="0.55000000000000004">
      <c r="A11" s="1" t="s">
        <v>33</v>
      </c>
      <c r="B11" s="1" t="s">
        <v>8</v>
      </c>
      <c r="C11" s="1" t="s">
        <v>237</v>
      </c>
      <c r="D11" s="1" t="s">
        <v>335</v>
      </c>
      <c r="E11" s="1" t="s">
        <v>121</v>
      </c>
      <c r="F11" s="1">
        <v>2</v>
      </c>
    </row>
    <row r="12" spans="1:6" x14ac:dyDescent="0.55000000000000004">
      <c r="A12" s="1" t="s">
        <v>34</v>
      </c>
      <c r="B12" s="1" t="s">
        <v>9</v>
      </c>
      <c r="C12" s="1" t="s">
        <v>238</v>
      </c>
      <c r="D12" s="1" t="s">
        <v>335</v>
      </c>
      <c r="E12" s="1" t="s">
        <v>121</v>
      </c>
      <c r="F12" s="1">
        <v>3</v>
      </c>
    </row>
    <row r="13" spans="1:6" x14ac:dyDescent="0.55000000000000004">
      <c r="A13" s="1" t="s">
        <v>35</v>
      </c>
      <c r="B13" s="1" t="s">
        <v>10</v>
      </c>
      <c r="C13" s="1" t="s">
        <v>239</v>
      </c>
      <c r="D13" s="1" t="s">
        <v>335</v>
      </c>
      <c r="E13" s="1" t="s">
        <v>121</v>
      </c>
      <c r="F13" s="1">
        <v>4</v>
      </c>
    </row>
    <row r="14" spans="1:6" x14ac:dyDescent="0.55000000000000004">
      <c r="A14" s="1" t="s">
        <v>36</v>
      </c>
      <c r="B14" s="1" t="s">
        <v>11</v>
      </c>
      <c r="C14" s="1" t="s">
        <v>240</v>
      </c>
      <c r="D14" s="1" t="s">
        <v>335</v>
      </c>
      <c r="E14" s="1" t="s">
        <v>122</v>
      </c>
      <c r="F14" s="1">
        <v>1</v>
      </c>
    </row>
    <row r="15" spans="1:6" x14ac:dyDescent="0.55000000000000004">
      <c r="A15" s="1" t="s">
        <v>37</v>
      </c>
      <c r="B15" s="1" t="s">
        <v>12</v>
      </c>
      <c r="C15" s="1" t="s">
        <v>241</v>
      </c>
      <c r="D15" s="1" t="s">
        <v>335</v>
      </c>
      <c r="E15" s="1" t="s">
        <v>122</v>
      </c>
      <c r="F15" s="1">
        <v>2</v>
      </c>
    </row>
    <row r="16" spans="1:6" x14ac:dyDescent="0.55000000000000004">
      <c r="A16" s="1" t="s">
        <v>38</v>
      </c>
      <c r="B16" s="1" t="s">
        <v>13</v>
      </c>
      <c r="C16" s="1" t="s">
        <v>242</v>
      </c>
      <c r="D16" s="1" t="s">
        <v>335</v>
      </c>
      <c r="E16" s="1" t="s">
        <v>122</v>
      </c>
      <c r="F16" s="1">
        <v>3</v>
      </c>
    </row>
    <row r="17" spans="1:6" x14ac:dyDescent="0.55000000000000004">
      <c r="A17" s="1" t="s">
        <v>39</v>
      </c>
      <c r="B17" s="1" t="s">
        <v>14</v>
      </c>
      <c r="C17" s="1" t="s">
        <v>243</v>
      </c>
      <c r="D17" s="1" t="s">
        <v>335</v>
      </c>
      <c r="E17" s="1" t="s">
        <v>122</v>
      </c>
      <c r="F17" s="1">
        <v>4</v>
      </c>
    </row>
    <row r="18" spans="1:6" x14ac:dyDescent="0.55000000000000004">
      <c r="A18" s="1" t="s">
        <v>40</v>
      </c>
      <c r="B18" s="1" t="s">
        <v>174</v>
      </c>
      <c r="C18" s="1" t="s">
        <v>244</v>
      </c>
      <c r="D18" s="1" t="s">
        <v>317</v>
      </c>
      <c r="E18" s="1" t="s">
        <v>123</v>
      </c>
      <c r="F18" s="1">
        <v>1</v>
      </c>
    </row>
    <row r="19" spans="1:6" x14ac:dyDescent="0.55000000000000004">
      <c r="A19" s="1" t="s">
        <v>41</v>
      </c>
      <c r="B19" s="1" t="s">
        <v>175</v>
      </c>
      <c r="C19" s="1" t="s">
        <v>245</v>
      </c>
      <c r="D19" s="1" t="s">
        <v>318</v>
      </c>
      <c r="E19" s="1" t="s">
        <v>123</v>
      </c>
      <c r="F19" s="1">
        <v>2</v>
      </c>
    </row>
    <row r="20" spans="1:6" x14ac:dyDescent="0.55000000000000004">
      <c r="A20" s="1" t="s">
        <v>42</v>
      </c>
      <c r="B20" s="1" t="s">
        <v>176</v>
      </c>
      <c r="C20" s="1" t="s">
        <v>246</v>
      </c>
      <c r="D20" s="1" t="s">
        <v>319</v>
      </c>
      <c r="E20" s="1" t="s">
        <v>123</v>
      </c>
      <c r="F20" s="1">
        <v>3</v>
      </c>
    </row>
    <row r="21" spans="1:6" x14ac:dyDescent="0.55000000000000004">
      <c r="A21" s="1" t="s">
        <v>43</v>
      </c>
      <c r="B21" s="1" t="s">
        <v>177</v>
      </c>
      <c r="C21" s="1" t="s">
        <v>247</v>
      </c>
      <c r="D21" s="1" t="s">
        <v>320</v>
      </c>
      <c r="E21" s="1" t="s">
        <v>123</v>
      </c>
      <c r="F21" s="1">
        <v>4</v>
      </c>
    </row>
    <row r="22" spans="1:6" x14ac:dyDescent="0.55000000000000004">
      <c r="A22" s="1" t="s">
        <v>44</v>
      </c>
      <c r="B22" s="1" t="s">
        <v>178</v>
      </c>
      <c r="C22" s="1" t="s">
        <v>248</v>
      </c>
      <c r="D22" s="1" t="s">
        <v>321</v>
      </c>
      <c r="E22" s="1" t="s">
        <v>124</v>
      </c>
      <c r="F22" s="1">
        <v>1</v>
      </c>
    </row>
    <row r="23" spans="1:6" x14ac:dyDescent="0.55000000000000004">
      <c r="A23" s="1" t="s">
        <v>45</v>
      </c>
      <c r="B23" s="1" t="s">
        <v>179</v>
      </c>
      <c r="C23" s="1" t="s">
        <v>249</v>
      </c>
      <c r="D23" s="1" t="s">
        <v>322</v>
      </c>
      <c r="E23" s="1" t="s">
        <v>124</v>
      </c>
      <c r="F23" s="1">
        <v>2</v>
      </c>
    </row>
    <row r="24" spans="1:6" x14ac:dyDescent="0.55000000000000004">
      <c r="A24" s="1" t="s">
        <v>46</v>
      </c>
      <c r="B24" s="1" t="s">
        <v>180</v>
      </c>
      <c r="C24" s="1" t="s">
        <v>250</v>
      </c>
      <c r="D24" s="1" t="s">
        <v>320</v>
      </c>
      <c r="E24" s="1" t="s">
        <v>124</v>
      </c>
      <c r="F24" s="1">
        <v>3</v>
      </c>
    </row>
    <row r="25" spans="1:6" x14ac:dyDescent="0.55000000000000004">
      <c r="A25" s="1" t="s">
        <v>47</v>
      </c>
      <c r="B25" s="1" t="s">
        <v>181</v>
      </c>
      <c r="C25" s="1" t="s">
        <v>251</v>
      </c>
      <c r="D25" s="1" t="s">
        <v>323</v>
      </c>
      <c r="E25" s="1" t="s">
        <v>124</v>
      </c>
      <c r="F25" s="1">
        <v>4</v>
      </c>
    </row>
    <row r="26" spans="1:6" x14ac:dyDescent="0.55000000000000004">
      <c r="A26" s="1" t="s">
        <v>48</v>
      </c>
      <c r="B26" s="1" t="s">
        <v>182</v>
      </c>
      <c r="C26" s="1" t="s">
        <v>252</v>
      </c>
      <c r="D26" s="1" t="s">
        <v>319</v>
      </c>
      <c r="E26" s="1" t="s">
        <v>125</v>
      </c>
      <c r="F26" s="1">
        <v>1</v>
      </c>
    </row>
    <row r="27" spans="1:6" x14ac:dyDescent="0.55000000000000004">
      <c r="A27" s="1" t="s">
        <v>49</v>
      </c>
      <c r="B27" s="1" t="s">
        <v>183</v>
      </c>
      <c r="C27" s="1" t="s">
        <v>253</v>
      </c>
      <c r="D27" s="1" t="s">
        <v>321</v>
      </c>
      <c r="E27" s="1" t="s">
        <v>125</v>
      </c>
      <c r="F27" s="1">
        <v>2</v>
      </c>
    </row>
    <row r="28" spans="1:6" x14ac:dyDescent="0.55000000000000004">
      <c r="A28" s="1" t="s">
        <v>50</v>
      </c>
      <c r="B28" s="1" t="s">
        <v>184</v>
      </c>
      <c r="C28" s="1" t="s">
        <v>254</v>
      </c>
      <c r="D28" s="1" t="s">
        <v>323</v>
      </c>
      <c r="E28" s="1" t="s">
        <v>125</v>
      </c>
      <c r="F28" s="1">
        <v>3</v>
      </c>
    </row>
    <row r="29" spans="1:6" x14ac:dyDescent="0.55000000000000004">
      <c r="A29" s="1" t="s">
        <v>51</v>
      </c>
      <c r="B29" s="1" t="s">
        <v>185</v>
      </c>
      <c r="C29" s="1" t="s">
        <v>255</v>
      </c>
      <c r="D29" s="1" t="s">
        <v>320</v>
      </c>
      <c r="E29" s="1" t="s">
        <v>125</v>
      </c>
      <c r="F29" s="1">
        <v>4</v>
      </c>
    </row>
    <row r="30" spans="1:6" x14ac:dyDescent="0.55000000000000004">
      <c r="A30" s="1" t="s">
        <v>52</v>
      </c>
      <c r="B30" s="1" t="s">
        <v>186</v>
      </c>
      <c r="C30" s="1" t="s">
        <v>256</v>
      </c>
      <c r="D30" s="1" t="s">
        <v>319</v>
      </c>
      <c r="E30" s="1" t="s">
        <v>127</v>
      </c>
      <c r="F30" s="1">
        <v>1</v>
      </c>
    </row>
    <row r="31" spans="1:6" x14ac:dyDescent="0.55000000000000004">
      <c r="A31" s="1" t="s">
        <v>53</v>
      </c>
      <c r="B31" s="1" t="s">
        <v>187</v>
      </c>
      <c r="C31" s="1" t="s">
        <v>257</v>
      </c>
      <c r="D31" s="1" t="s">
        <v>323</v>
      </c>
      <c r="E31" s="1" t="s">
        <v>127</v>
      </c>
      <c r="F31" s="1">
        <v>2</v>
      </c>
    </row>
    <row r="32" spans="1:6" x14ac:dyDescent="0.55000000000000004">
      <c r="A32" s="1" t="s">
        <v>54</v>
      </c>
      <c r="B32" s="1" t="s">
        <v>188</v>
      </c>
      <c r="C32" s="1" t="s">
        <v>258</v>
      </c>
      <c r="D32" s="1" t="s">
        <v>317</v>
      </c>
      <c r="E32" s="1" t="s">
        <v>127</v>
      </c>
      <c r="F32" s="1">
        <v>3</v>
      </c>
    </row>
    <row r="33" spans="1:6" x14ac:dyDescent="0.55000000000000004">
      <c r="A33" s="1" t="s">
        <v>55</v>
      </c>
      <c r="B33" s="1" t="s">
        <v>189</v>
      </c>
      <c r="C33" s="1" t="s">
        <v>259</v>
      </c>
      <c r="D33" s="1" t="s">
        <v>320</v>
      </c>
      <c r="E33" s="1" t="s">
        <v>127</v>
      </c>
      <c r="F33" s="1">
        <v>4</v>
      </c>
    </row>
    <row r="34" spans="1:6" x14ac:dyDescent="0.55000000000000004">
      <c r="A34" s="1" t="s">
        <v>56</v>
      </c>
      <c r="B34" s="1" t="s">
        <v>190</v>
      </c>
      <c r="C34" s="1" t="s">
        <v>260</v>
      </c>
      <c r="D34" s="1" t="s">
        <v>321</v>
      </c>
      <c r="E34" s="1" t="s">
        <v>128</v>
      </c>
      <c r="F34" s="1">
        <v>1</v>
      </c>
    </row>
    <row r="35" spans="1:6" x14ac:dyDescent="0.55000000000000004">
      <c r="A35" s="1" t="s">
        <v>57</v>
      </c>
      <c r="B35" s="1" t="s">
        <v>15</v>
      </c>
      <c r="C35" s="1" t="s">
        <v>261</v>
      </c>
      <c r="D35" s="1" t="s">
        <v>335</v>
      </c>
      <c r="E35" s="1" t="s">
        <v>128</v>
      </c>
      <c r="F35" s="1">
        <v>2</v>
      </c>
    </row>
    <row r="36" spans="1:6" x14ac:dyDescent="0.55000000000000004">
      <c r="A36" s="1" t="s">
        <v>58</v>
      </c>
      <c r="B36" s="1" t="s">
        <v>16</v>
      </c>
      <c r="C36" s="1" t="s">
        <v>262</v>
      </c>
      <c r="D36" s="1" t="s">
        <v>335</v>
      </c>
      <c r="E36" s="1" t="s">
        <v>128</v>
      </c>
      <c r="F36" s="1">
        <v>3</v>
      </c>
    </row>
    <row r="37" spans="1:6" x14ac:dyDescent="0.55000000000000004">
      <c r="A37" s="1" t="s">
        <v>59</v>
      </c>
      <c r="B37" s="1" t="s">
        <v>17</v>
      </c>
      <c r="C37" s="1" t="s">
        <v>263</v>
      </c>
      <c r="D37" s="1" t="s">
        <v>335</v>
      </c>
      <c r="E37" s="1" t="s">
        <v>128</v>
      </c>
      <c r="F37" s="1">
        <v>4</v>
      </c>
    </row>
    <row r="38" spans="1:6" x14ac:dyDescent="0.55000000000000004">
      <c r="A38" s="1" t="s">
        <v>60</v>
      </c>
      <c r="B38" s="1" t="s">
        <v>191</v>
      </c>
      <c r="C38" s="1" t="s">
        <v>264</v>
      </c>
      <c r="D38" s="1" t="s">
        <v>317</v>
      </c>
      <c r="E38" s="1" t="s">
        <v>129</v>
      </c>
      <c r="F38" s="1">
        <v>1</v>
      </c>
    </row>
    <row r="39" spans="1:6" x14ac:dyDescent="0.55000000000000004">
      <c r="A39" s="1" t="s">
        <v>61</v>
      </c>
      <c r="B39" s="1" t="s">
        <v>192</v>
      </c>
      <c r="C39" s="1" t="s">
        <v>265</v>
      </c>
      <c r="D39" s="1" t="s">
        <v>322</v>
      </c>
      <c r="E39" s="1" t="s">
        <v>129</v>
      </c>
      <c r="F39" s="1">
        <v>2</v>
      </c>
    </row>
    <row r="40" spans="1:6" x14ac:dyDescent="0.55000000000000004">
      <c r="A40" s="1" t="s">
        <v>66</v>
      </c>
      <c r="B40" s="1" t="s">
        <v>20</v>
      </c>
      <c r="C40" s="1" t="s">
        <v>266</v>
      </c>
      <c r="D40" s="1" t="s">
        <v>335</v>
      </c>
      <c r="E40" s="1" t="s">
        <v>129</v>
      </c>
      <c r="F40" s="1">
        <v>3</v>
      </c>
    </row>
    <row r="41" spans="1:6" x14ac:dyDescent="0.55000000000000004">
      <c r="A41" s="1" t="s">
        <v>67</v>
      </c>
      <c r="B41" s="1" t="s">
        <v>21</v>
      </c>
      <c r="C41" s="1" t="s">
        <v>267</v>
      </c>
      <c r="D41" s="1" t="s">
        <v>335</v>
      </c>
      <c r="E41" s="1" t="s">
        <v>129</v>
      </c>
      <c r="F41" s="1">
        <v>4</v>
      </c>
    </row>
    <row r="42" spans="1:6" x14ac:dyDescent="0.55000000000000004">
      <c r="A42" s="1" t="s">
        <v>62</v>
      </c>
      <c r="B42" s="1" t="s">
        <v>193</v>
      </c>
      <c r="C42" s="1" t="s">
        <v>268</v>
      </c>
      <c r="D42" s="1" t="s">
        <v>321</v>
      </c>
      <c r="E42" s="1" t="s">
        <v>130</v>
      </c>
      <c r="F42" s="1">
        <v>1</v>
      </c>
    </row>
    <row r="43" spans="1:6" x14ac:dyDescent="0.55000000000000004">
      <c r="A43" s="1" t="s">
        <v>63</v>
      </c>
      <c r="B43" s="1" t="s">
        <v>194</v>
      </c>
      <c r="C43" s="1" t="s">
        <v>269</v>
      </c>
      <c r="D43" s="1" t="s">
        <v>318</v>
      </c>
      <c r="E43" s="1" t="s">
        <v>130</v>
      </c>
      <c r="F43" s="1">
        <v>2</v>
      </c>
    </row>
    <row r="44" spans="1:6" x14ac:dyDescent="0.55000000000000004">
      <c r="A44" s="1" t="s">
        <v>64</v>
      </c>
      <c r="B44" s="1" t="s">
        <v>18</v>
      </c>
      <c r="C44" s="1" t="s">
        <v>270</v>
      </c>
      <c r="D44" s="1" t="s">
        <v>335</v>
      </c>
      <c r="E44" s="1" t="s">
        <v>130</v>
      </c>
      <c r="F44" s="1">
        <v>3</v>
      </c>
    </row>
    <row r="45" spans="1:6" x14ac:dyDescent="0.55000000000000004">
      <c r="A45" s="1" t="s">
        <v>65</v>
      </c>
      <c r="B45" s="1" t="s">
        <v>19</v>
      </c>
      <c r="C45" s="1" t="s">
        <v>271</v>
      </c>
      <c r="D45" s="1" t="s">
        <v>335</v>
      </c>
      <c r="E45" s="1" t="s">
        <v>130</v>
      </c>
      <c r="F45" s="1">
        <v>4</v>
      </c>
    </row>
    <row r="46" spans="1:6" x14ac:dyDescent="0.55000000000000004">
      <c r="A46" s="1" t="s">
        <v>68</v>
      </c>
      <c r="B46" s="1" t="s">
        <v>195</v>
      </c>
      <c r="C46" s="1" t="s">
        <v>272</v>
      </c>
      <c r="D46" s="1" t="s">
        <v>323</v>
      </c>
      <c r="E46" s="1" t="s">
        <v>131</v>
      </c>
      <c r="F46" s="1">
        <v>1</v>
      </c>
    </row>
    <row r="47" spans="1:6" x14ac:dyDescent="0.55000000000000004">
      <c r="A47" s="1" t="s">
        <v>69</v>
      </c>
      <c r="B47" s="1" t="s">
        <v>196</v>
      </c>
      <c r="C47" s="1" t="s">
        <v>273</v>
      </c>
      <c r="D47" s="1" t="s">
        <v>318</v>
      </c>
      <c r="E47" s="1" t="s">
        <v>131</v>
      </c>
      <c r="F47" s="1">
        <v>2</v>
      </c>
    </row>
    <row r="48" spans="1:6" x14ac:dyDescent="0.55000000000000004">
      <c r="A48" s="1" t="s">
        <v>70</v>
      </c>
      <c r="B48" s="1" t="s">
        <v>22</v>
      </c>
      <c r="C48" s="1" t="s">
        <v>274</v>
      </c>
      <c r="D48" s="1" t="s">
        <v>335</v>
      </c>
      <c r="E48" s="1" t="s">
        <v>131</v>
      </c>
      <c r="F48" s="1">
        <v>3</v>
      </c>
    </row>
    <row r="49" spans="1:6" x14ac:dyDescent="0.55000000000000004">
      <c r="A49" s="1" t="s">
        <v>71</v>
      </c>
      <c r="B49" s="1" t="s">
        <v>23</v>
      </c>
      <c r="C49" s="1" t="s">
        <v>275</v>
      </c>
      <c r="D49" s="1" t="s">
        <v>335</v>
      </c>
      <c r="E49" s="1" t="s">
        <v>131</v>
      </c>
      <c r="F49" s="1">
        <v>4</v>
      </c>
    </row>
    <row r="50" spans="1:6" x14ac:dyDescent="0.55000000000000004">
      <c r="A50" s="1" t="s">
        <v>72</v>
      </c>
      <c r="B50" s="1" t="s">
        <v>392</v>
      </c>
      <c r="C50" s="1" t="s">
        <v>393</v>
      </c>
      <c r="D50" s="1" t="s">
        <v>324</v>
      </c>
      <c r="E50" s="1" t="s">
        <v>132</v>
      </c>
      <c r="F50" s="1">
        <v>1</v>
      </c>
    </row>
    <row r="51" spans="1:6" x14ac:dyDescent="0.55000000000000004">
      <c r="A51" s="1" t="s">
        <v>73</v>
      </c>
      <c r="B51" s="1" t="s">
        <v>197</v>
      </c>
      <c r="C51" s="1" t="s">
        <v>276</v>
      </c>
      <c r="D51" s="1" t="s">
        <v>323</v>
      </c>
      <c r="E51" s="1" t="s">
        <v>132</v>
      </c>
      <c r="F51" s="1">
        <v>2</v>
      </c>
    </row>
    <row r="52" spans="1:6" x14ac:dyDescent="0.55000000000000004">
      <c r="A52" s="1" t="s">
        <v>75</v>
      </c>
      <c r="B52" s="1" t="s">
        <v>198</v>
      </c>
      <c r="C52" s="1" t="s">
        <v>277</v>
      </c>
      <c r="D52" s="1" t="s">
        <v>320</v>
      </c>
      <c r="E52" s="1" t="s">
        <v>132</v>
      </c>
      <c r="F52" s="1">
        <v>3</v>
      </c>
    </row>
    <row r="53" spans="1:6" x14ac:dyDescent="0.55000000000000004">
      <c r="A53" s="1" t="s">
        <v>76</v>
      </c>
      <c r="B53" s="1" t="s">
        <v>199</v>
      </c>
      <c r="C53" s="1" t="s">
        <v>278</v>
      </c>
      <c r="D53" s="1" t="s">
        <v>317</v>
      </c>
      <c r="E53" s="1" t="s">
        <v>132</v>
      </c>
      <c r="F53" s="1">
        <v>4</v>
      </c>
    </row>
    <row r="54" spans="1:6" x14ac:dyDescent="0.55000000000000004">
      <c r="A54" s="1" t="s">
        <v>74</v>
      </c>
      <c r="B54" s="1" t="s">
        <v>200</v>
      </c>
      <c r="C54" s="1" t="s">
        <v>279</v>
      </c>
      <c r="D54" s="1" t="s">
        <v>324</v>
      </c>
      <c r="E54" s="1" t="s">
        <v>133</v>
      </c>
      <c r="F54" s="1">
        <v>1</v>
      </c>
    </row>
    <row r="55" spans="1:6" x14ac:dyDescent="0.55000000000000004">
      <c r="A55" s="1" t="s">
        <v>77</v>
      </c>
      <c r="B55" s="1" t="s">
        <v>201</v>
      </c>
      <c r="C55" s="1" t="s">
        <v>280</v>
      </c>
      <c r="D55" s="1" t="s">
        <v>319</v>
      </c>
      <c r="E55" s="1" t="s">
        <v>133</v>
      </c>
      <c r="F55" s="1">
        <v>2</v>
      </c>
    </row>
    <row r="56" spans="1:6" x14ac:dyDescent="0.55000000000000004">
      <c r="A56" s="1" t="s">
        <v>78</v>
      </c>
      <c r="B56" s="1" t="s">
        <v>202</v>
      </c>
      <c r="C56" s="1" t="s">
        <v>281</v>
      </c>
      <c r="D56" s="1" t="s">
        <v>318</v>
      </c>
      <c r="E56" s="1" t="s">
        <v>133</v>
      </c>
      <c r="F56" s="1">
        <v>3</v>
      </c>
    </row>
    <row r="57" spans="1:6" x14ac:dyDescent="0.55000000000000004">
      <c r="A57" s="1" t="s">
        <v>79</v>
      </c>
      <c r="B57" s="1" t="s">
        <v>203</v>
      </c>
      <c r="C57" s="1" t="s">
        <v>282</v>
      </c>
      <c r="D57" s="1" t="s">
        <v>324</v>
      </c>
      <c r="E57" s="1" t="s">
        <v>133</v>
      </c>
      <c r="F57" s="1">
        <v>4</v>
      </c>
    </row>
    <row r="58" spans="1:6" x14ac:dyDescent="0.55000000000000004">
      <c r="A58" s="1" t="s">
        <v>84</v>
      </c>
      <c r="B58" s="1" t="s">
        <v>204</v>
      </c>
      <c r="C58" s="1" t="s">
        <v>283</v>
      </c>
      <c r="D58" s="1" t="s">
        <v>324</v>
      </c>
      <c r="E58" s="1" t="s">
        <v>134</v>
      </c>
      <c r="F58" s="1">
        <v>1</v>
      </c>
    </row>
    <row r="59" spans="1:6" x14ac:dyDescent="0.55000000000000004">
      <c r="A59" s="1" t="s">
        <v>82</v>
      </c>
      <c r="B59" s="1" t="s">
        <v>205</v>
      </c>
      <c r="C59" s="1" t="s">
        <v>287</v>
      </c>
      <c r="D59" s="1" t="s">
        <v>322</v>
      </c>
      <c r="E59" s="1" t="s">
        <v>134</v>
      </c>
      <c r="F59" s="1">
        <v>2</v>
      </c>
    </row>
    <row r="60" spans="1:6" x14ac:dyDescent="0.55000000000000004">
      <c r="A60" s="1" t="s">
        <v>81</v>
      </c>
      <c r="B60" s="1" t="s">
        <v>206</v>
      </c>
      <c r="C60" s="1" t="s">
        <v>284</v>
      </c>
      <c r="D60" s="1" t="s">
        <v>320</v>
      </c>
      <c r="E60" s="1" t="s">
        <v>134</v>
      </c>
      <c r="F60" s="1">
        <v>3</v>
      </c>
    </row>
    <row r="61" spans="1:6" x14ac:dyDescent="0.55000000000000004">
      <c r="A61" s="1" t="s">
        <v>85</v>
      </c>
      <c r="B61" s="1" t="s">
        <v>207</v>
      </c>
      <c r="C61" s="1" t="s">
        <v>285</v>
      </c>
      <c r="D61" s="1" t="s">
        <v>319</v>
      </c>
      <c r="E61" s="1" t="s">
        <v>134</v>
      </c>
      <c r="F61" s="1">
        <v>4</v>
      </c>
    </row>
    <row r="62" spans="1:6" x14ac:dyDescent="0.55000000000000004">
      <c r="A62" s="1" t="s">
        <v>86</v>
      </c>
      <c r="B62" s="1" t="s">
        <v>208</v>
      </c>
      <c r="C62" s="1" t="s">
        <v>286</v>
      </c>
      <c r="D62" s="1" t="s">
        <v>324</v>
      </c>
      <c r="E62" s="1" t="s">
        <v>135</v>
      </c>
      <c r="F62" s="1">
        <v>1</v>
      </c>
    </row>
    <row r="63" spans="1:6" x14ac:dyDescent="0.55000000000000004">
      <c r="A63" s="1" t="s">
        <v>87</v>
      </c>
      <c r="B63" s="1" t="s">
        <v>209</v>
      </c>
      <c r="C63" s="1" t="s">
        <v>288</v>
      </c>
      <c r="D63" s="1" t="s">
        <v>318</v>
      </c>
      <c r="E63" s="1" t="s">
        <v>135</v>
      </c>
      <c r="F63" s="1">
        <v>2</v>
      </c>
    </row>
    <row r="64" spans="1:6" x14ac:dyDescent="0.55000000000000004">
      <c r="A64" s="1" t="s">
        <v>83</v>
      </c>
      <c r="B64" s="1" t="s">
        <v>210</v>
      </c>
      <c r="C64" s="1" t="s">
        <v>289</v>
      </c>
      <c r="D64" s="1" t="s">
        <v>317</v>
      </c>
      <c r="E64" s="1" t="s">
        <v>135</v>
      </c>
      <c r="F64" s="1">
        <v>3</v>
      </c>
    </row>
    <row r="65" spans="1:6" x14ac:dyDescent="0.55000000000000004">
      <c r="A65" s="1" t="s">
        <v>88</v>
      </c>
      <c r="B65" s="1" t="s">
        <v>80</v>
      </c>
      <c r="C65" s="1" t="s">
        <v>290</v>
      </c>
      <c r="D65" s="1" t="s">
        <v>351</v>
      </c>
      <c r="E65" s="1" t="s">
        <v>135</v>
      </c>
      <c r="F65" s="1">
        <v>4</v>
      </c>
    </row>
    <row r="66" spans="1:6" s="2" customFormat="1" x14ac:dyDescent="0.55000000000000004">
      <c r="A66" s="2" t="s">
        <v>89</v>
      </c>
      <c r="B66" s="3" t="s">
        <v>211</v>
      </c>
      <c r="C66" s="3" t="s">
        <v>291</v>
      </c>
      <c r="D66" s="2" t="s">
        <v>324</v>
      </c>
      <c r="E66" s="1" t="s">
        <v>136</v>
      </c>
      <c r="F66" s="1">
        <v>1</v>
      </c>
    </row>
    <row r="67" spans="1:6" x14ac:dyDescent="0.55000000000000004">
      <c r="A67" s="2" t="s">
        <v>90</v>
      </c>
      <c r="B67" s="2" t="s">
        <v>212</v>
      </c>
      <c r="C67" s="2" t="s">
        <v>292</v>
      </c>
      <c r="D67" s="2" t="s">
        <v>318</v>
      </c>
      <c r="E67" s="1" t="s">
        <v>136</v>
      </c>
      <c r="F67" s="1">
        <v>2</v>
      </c>
    </row>
    <row r="68" spans="1:6" x14ac:dyDescent="0.55000000000000004">
      <c r="A68" s="2" t="s">
        <v>91</v>
      </c>
      <c r="B68" s="2" t="s">
        <v>213</v>
      </c>
      <c r="C68" s="2" t="s">
        <v>293</v>
      </c>
      <c r="D68" s="2" t="s">
        <v>323</v>
      </c>
      <c r="E68" s="1" t="s">
        <v>136</v>
      </c>
      <c r="F68" s="1">
        <v>3</v>
      </c>
    </row>
    <row r="69" spans="1:6" x14ac:dyDescent="0.55000000000000004">
      <c r="A69" s="2" t="s">
        <v>92</v>
      </c>
      <c r="B69" s="2" t="s">
        <v>214</v>
      </c>
      <c r="C69" s="2" t="s">
        <v>294</v>
      </c>
      <c r="D69" s="2" t="s">
        <v>317</v>
      </c>
      <c r="E69" s="1" t="s">
        <v>136</v>
      </c>
      <c r="F69" s="1">
        <v>4</v>
      </c>
    </row>
    <row r="70" spans="1:6" x14ac:dyDescent="0.55000000000000004">
      <c r="A70" s="2" t="s">
        <v>93</v>
      </c>
      <c r="B70" s="2" t="s">
        <v>215</v>
      </c>
      <c r="C70" s="2" t="s">
        <v>295</v>
      </c>
      <c r="D70" s="2" t="s">
        <v>324</v>
      </c>
      <c r="E70" s="1" t="s">
        <v>137</v>
      </c>
      <c r="F70" s="1">
        <v>1</v>
      </c>
    </row>
    <row r="71" spans="1:6" x14ac:dyDescent="0.55000000000000004">
      <c r="A71" s="2" t="s">
        <v>94</v>
      </c>
      <c r="B71" s="2" t="s">
        <v>216</v>
      </c>
      <c r="C71" s="2" t="s">
        <v>296</v>
      </c>
      <c r="D71" s="2" t="s">
        <v>319</v>
      </c>
      <c r="E71" s="1" t="s">
        <v>137</v>
      </c>
      <c r="F71" s="1">
        <v>2</v>
      </c>
    </row>
    <row r="72" spans="1:6" x14ac:dyDescent="0.55000000000000004">
      <c r="A72" s="2" t="s">
        <v>95</v>
      </c>
      <c r="B72" s="2" t="s">
        <v>217</v>
      </c>
      <c r="C72" s="2" t="s">
        <v>297</v>
      </c>
      <c r="D72" s="2" t="s">
        <v>324</v>
      </c>
      <c r="E72" s="1" t="s">
        <v>137</v>
      </c>
      <c r="F72" s="1">
        <v>3</v>
      </c>
    </row>
    <row r="73" spans="1:6" x14ac:dyDescent="0.55000000000000004">
      <c r="A73" s="2" t="s">
        <v>96</v>
      </c>
      <c r="B73" s="2" t="s">
        <v>218</v>
      </c>
      <c r="C73" s="2" t="s">
        <v>298</v>
      </c>
      <c r="D73" s="2" t="s">
        <v>323</v>
      </c>
      <c r="E73" s="1" t="s">
        <v>137</v>
      </c>
      <c r="F73" s="1">
        <v>4</v>
      </c>
    </row>
    <row r="74" spans="1:6" x14ac:dyDescent="0.55000000000000004">
      <c r="A74" s="1" t="s">
        <v>308</v>
      </c>
      <c r="B74" s="1" t="s">
        <v>219</v>
      </c>
      <c r="C74" s="1" t="s">
        <v>299</v>
      </c>
      <c r="D74" s="2" t="s">
        <v>324</v>
      </c>
      <c r="E74" s="1" t="s">
        <v>138</v>
      </c>
      <c r="F74" s="1">
        <v>1</v>
      </c>
    </row>
    <row r="75" spans="1:6" x14ac:dyDescent="0.55000000000000004">
      <c r="A75" s="1" t="s">
        <v>309</v>
      </c>
      <c r="B75" s="1" t="s">
        <v>220</v>
      </c>
      <c r="C75" s="1" t="s">
        <v>300</v>
      </c>
      <c r="D75" s="2" t="s">
        <v>318</v>
      </c>
      <c r="E75" s="1" t="s">
        <v>138</v>
      </c>
      <c r="F75" s="1">
        <v>2</v>
      </c>
    </row>
    <row r="76" spans="1:6" x14ac:dyDescent="0.55000000000000004">
      <c r="A76" s="1" t="s">
        <v>310</v>
      </c>
      <c r="B76" s="1" t="s">
        <v>221</v>
      </c>
      <c r="C76" s="1" t="s">
        <v>301</v>
      </c>
      <c r="D76" s="2" t="s">
        <v>317</v>
      </c>
      <c r="E76" s="1" t="s">
        <v>138</v>
      </c>
      <c r="F76" s="1">
        <v>3</v>
      </c>
    </row>
    <row r="77" spans="1:6" x14ac:dyDescent="0.55000000000000004">
      <c r="A77" s="1" t="s">
        <v>311</v>
      </c>
      <c r="B77" s="1" t="s">
        <v>222</v>
      </c>
      <c r="C77" s="1" t="s">
        <v>302</v>
      </c>
      <c r="D77" s="1" t="s">
        <v>351</v>
      </c>
      <c r="E77" s="1" t="s">
        <v>138</v>
      </c>
      <c r="F77" s="1">
        <v>4</v>
      </c>
    </row>
    <row r="78" spans="1:6" x14ac:dyDescent="0.55000000000000004">
      <c r="A78" s="1" t="s">
        <v>312</v>
      </c>
      <c r="B78" s="1" t="s">
        <v>223</v>
      </c>
      <c r="C78" s="1" t="s">
        <v>303</v>
      </c>
      <c r="D78" s="2" t="s">
        <v>324</v>
      </c>
      <c r="E78" s="1" t="s">
        <v>139</v>
      </c>
      <c r="F78" s="1">
        <v>1</v>
      </c>
    </row>
    <row r="79" spans="1:6" x14ac:dyDescent="0.55000000000000004">
      <c r="A79" s="1" t="s">
        <v>313</v>
      </c>
      <c r="B79" s="1" t="s">
        <v>305</v>
      </c>
      <c r="C79" s="1" t="s">
        <v>304</v>
      </c>
      <c r="D79" s="2" t="s">
        <v>319</v>
      </c>
      <c r="E79" s="1" t="s">
        <v>139</v>
      </c>
      <c r="F79" s="1">
        <v>2</v>
      </c>
    </row>
    <row r="80" spans="1:6" x14ac:dyDescent="0.55000000000000004">
      <c r="A80" s="1" t="s">
        <v>314</v>
      </c>
      <c r="B80" s="1" t="s">
        <v>224</v>
      </c>
      <c r="C80" s="1" t="s">
        <v>307</v>
      </c>
      <c r="D80" s="2" t="s">
        <v>321</v>
      </c>
      <c r="E80" s="1" t="s">
        <v>139</v>
      </c>
      <c r="F80" s="1">
        <v>3</v>
      </c>
    </row>
    <row r="81" spans="1:6" x14ac:dyDescent="0.55000000000000004">
      <c r="A81" s="1" t="s">
        <v>315</v>
      </c>
      <c r="B81" s="1" t="s">
        <v>225</v>
      </c>
      <c r="C81" s="1" t="s">
        <v>306</v>
      </c>
      <c r="D81" s="2" t="s">
        <v>324</v>
      </c>
      <c r="E81" s="1" t="s">
        <v>139</v>
      </c>
      <c r="F81" s="1">
        <v>4</v>
      </c>
    </row>
  </sheetData>
  <sheetProtection algorithmName="SHA-512" hashValue="3MfR5beVvKjz+UFQIAliiUhDgmLkofLaxmRL+HXpq2gJtOgq20YX2cIi80aYI6GuWVyPwP4t3yBq7aiwO1ygkA==" saltValue="uh8zkwbMYujZ2puqEnROZg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F1F3A8-E7D3-4FCA-A12F-95E6B6EE05DC}">
  <sheetPr codeName="Sheet6"/>
  <dimension ref="A1:E66"/>
  <sheetViews>
    <sheetView workbookViewId="0"/>
  </sheetViews>
  <sheetFormatPr defaultRowHeight="18" x14ac:dyDescent="0.55000000000000004"/>
  <cols>
    <col min="1" max="1" width="16.58203125" style="1" customWidth="1"/>
    <col min="2" max="3" width="19.25" style="1" customWidth="1"/>
    <col min="4" max="4" width="13.25" style="1" customWidth="1"/>
    <col min="5" max="5" width="11" style="1" customWidth="1"/>
    <col min="6" max="16384" width="8.6640625" style="1"/>
  </cols>
  <sheetData>
    <row r="1" spans="1:5" s="4" customFormat="1" x14ac:dyDescent="0.55000000000000004">
      <c r="A1" s="4" t="s">
        <v>98</v>
      </c>
      <c r="B1" s="4" t="s">
        <v>140</v>
      </c>
      <c r="C1" s="4" t="s">
        <v>141</v>
      </c>
      <c r="D1" s="4" t="s">
        <v>99</v>
      </c>
      <c r="E1" s="4" t="s">
        <v>162</v>
      </c>
    </row>
    <row r="2" spans="1:5" x14ac:dyDescent="0.55000000000000004">
      <c r="A2" s="1" t="s">
        <v>126</v>
      </c>
      <c r="B2" s="1" t="s">
        <v>100</v>
      </c>
      <c r="C2" s="1" t="s">
        <v>142</v>
      </c>
      <c r="D2" s="1">
        <v>1</v>
      </c>
      <c r="E2" s="1" t="s">
        <v>163</v>
      </c>
    </row>
    <row r="3" spans="1:5" x14ac:dyDescent="0.55000000000000004">
      <c r="A3" s="1" t="s">
        <v>120</v>
      </c>
      <c r="B3" s="1" t="s">
        <v>101</v>
      </c>
      <c r="C3" s="1" t="s">
        <v>143</v>
      </c>
      <c r="D3" s="1">
        <v>2</v>
      </c>
      <c r="E3" s="1" t="s">
        <v>163</v>
      </c>
    </row>
    <row r="4" spans="1:5" x14ac:dyDescent="0.55000000000000004">
      <c r="A4" s="1" t="s">
        <v>121</v>
      </c>
      <c r="B4" s="1" t="s">
        <v>102</v>
      </c>
      <c r="C4" s="1" t="s">
        <v>144</v>
      </c>
      <c r="D4" s="1">
        <v>3</v>
      </c>
      <c r="E4" s="1" t="s">
        <v>163</v>
      </c>
    </row>
    <row r="5" spans="1:5" x14ac:dyDescent="0.55000000000000004">
      <c r="A5" s="1" t="s">
        <v>122</v>
      </c>
      <c r="B5" s="1" t="s">
        <v>103</v>
      </c>
      <c r="C5" s="1" t="s">
        <v>146</v>
      </c>
      <c r="D5" s="1">
        <v>4</v>
      </c>
      <c r="E5" s="1" t="s">
        <v>163</v>
      </c>
    </row>
    <row r="6" spans="1:5" x14ac:dyDescent="0.55000000000000004">
      <c r="A6" s="1" t="s">
        <v>123</v>
      </c>
      <c r="B6" s="1" t="s">
        <v>104</v>
      </c>
      <c r="C6" s="1" t="s">
        <v>145</v>
      </c>
      <c r="D6" s="1">
        <v>5</v>
      </c>
      <c r="E6" s="1" t="s">
        <v>165</v>
      </c>
    </row>
    <row r="7" spans="1:5" x14ac:dyDescent="0.55000000000000004">
      <c r="A7" s="1" t="s">
        <v>124</v>
      </c>
      <c r="B7" s="1" t="s">
        <v>105</v>
      </c>
      <c r="C7" s="1" t="s">
        <v>147</v>
      </c>
      <c r="D7" s="1">
        <v>6</v>
      </c>
      <c r="E7" s="1" t="s">
        <v>165</v>
      </c>
    </row>
    <row r="8" spans="1:5" x14ac:dyDescent="0.55000000000000004">
      <c r="A8" s="1" t="s">
        <v>125</v>
      </c>
      <c r="B8" s="1" t="s">
        <v>106</v>
      </c>
      <c r="C8" s="1" t="s">
        <v>148</v>
      </c>
      <c r="D8" s="1">
        <v>7</v>
      </c>
      <c r="E8" s="1" t="s">
        <v>165</v>
      </c>
    </row>
    <row r="9" spans="1:5" x14ac:dyDescent="0.55000000000000004">
      <c r="A9" s="1" t="s">
        <v>127</v>
      </c>
      <c r="B9" s="1" t="s">
        <v>107</v>
      </c>
      <c r="C9" s="1" t="s">
        <v>149</v>
      </c>
      <c r="D9" s="1">
        <v>8</v>
      </c>
      <c r="E9" s="1" t="s">
        <v>165</v>
      </c>
    </row>
    <row r="10" spans="1:5" x14ac:dyDescent="0.55000000000000004">
      <c r="A10" s="1" t="s">
        <v>128</v>
      </c>
      <c r="B10" s="1" t="s">
        <v>108</v>
      </c>
      <c r="C10" s="1" t="s">
        <v>150</v>
      </c>
      <c r="D10" s="1">
        <v>9</v>
      </c>
      <c r="E10" s="1" t="s">
        <v>167</v>
      </c>
    </row>
    <row r="11" spans="1:5" x14ac:dyDescent="0.55000000000000004">
      <c r="A11" s="1" t="s">
        <v>129</v>
      </c>
      <c r="B11" s="1" t="s">
        <v>109</v>
      </c>
      <c r="C11" s="1" t="s">
        <v>151</v>
      </c>
      <c r="D11" s="1">
        <v>10</v>
      </c>
      <c r="E11" s="1" t="s">
        <v>167</v>
      </c>
    </row>
    <row r="12" spans="1:5" x14ac:dyDescent="0.55000000000000004">
      <c r="A12" s="1" t="s">
        <v>130</v>
      </c>
      <c r="B12" s="1" t="s">
        <v>110</v>
      </c>
      <c r="C12" s="1" t="s">
        <v>152</v>
      </c>
      <c r="D12" s="1">
        <v>11</v>
      </c>
      <c r="E12" s="1" t="s">
        <v>168</v>
      </c>
    </row>
    <row r="13" spans="1:5" x14ac:dyDescent="0.55000000000000004">
      <c r="A13" s="1" t="s">
        <v>131</v>
      </c>
      <c r="B13" s="1" t="s">
        <v>111</v>
      </c>
      <c r="C13" s="1" t="s">
        <v>153</v>
      </c>
      <c r="D13" s="1">
        <v>12</v>
      </c>
      <c r="E13" s="1" t="s">
        <v>168</v>
      </c>
    </row>
    <row r="14" spans="1:5" x14ac:dyDescent="0.55000000000000004">
      <c r="A14" s="1" t="s">
        <v>132</v>
      </c>
      <c r="B14" s="1" t="s">
        <v>112</v>
      </c>
      <c r="C14" s="1" t="s">
        <v>154</v>
      </c>
      <c r="D14" s="1">
        <v>13</v>
      </c>
      <c r="E14" s="1" t="s">
        <v>169</v>
      </c>
    </row>
    <row r="15" spans="1:5" x14ac:dyDescent="0.55000000000000004">
      <c r="A15" s="1" t="s">
        <v>133</v>
      </c>
      <c r="B15" s="1" t="s">
        <v>113</v>
      </c>
      <c r="C15" s="1" t="s">
        <v>155</v>
      </c>
      <c r="D15" s="1">
        <v>14</v>
      </c>
      <c r="E15" s="1" t="s">
        <v>169</v>
      </c>
    </row>
    <row r="16" spans="1:5" x14ac:dyDescent="0.55000000000000004">
      <c r="A16" s="1" t="s">
        <v>134</v>
      </c>
      <c r="B16" s="1" t="s">
        <v>114</v>
      </c>
      <c r="C16" s="1" t="s">
        <v>156</v>
      </c>
      <c r="D16" s="1">
        <v>15</v>
      </c>
      <c r="E16" s="1" t="s">
        <v>170</v>
      </c>
    </row>
    <row r="17" spans="1:5" x14ac:dyDescent="0.55000000000000004">
      <c r="A17" s="1" t="s">
        <v>135</v>
      </c>
      <c r="B17" s="1" t="s">
        <v>115</v>
      </c>
      <c r="C17" s="1" t="s">
        <v>157</v>
      </c>
      <c r="D17" s="1">
        <v>16</v>
      </c>
      <c r="E17" s="1" t="s">
        <v>170</v>
      </c>
    </row>
    <row r="18" spans="1:5" x14ac:dyDescent="0.55000000000000004">
      <c r="A18" s="1" t="s">
        <v>136</v>
      </c>
      <c r="B18" s="1" t="s">
        <v>116</v>
      </c>
      <c r="C18" s="1" t="s">
        <v>158</v>
      </c>
      <c r="D18" s="1">
        <v>17</v>
      </c>
      <c r="E18" s="1" t="s">
        <v>171</v>
      </c>
    </row>
    <row r="19" spans="1:5" x14ac:dyDescent="0.55000000000000004">
      <c r="A19" s="1" t="s">
        <v>137</v>
      </c>
      <c r="B19" s="1" t="s">
        <v>117</v>
      </c>
      <c r="C19" s="1" t="s">
        <v>159</v>
      </c>
      <c r="D19" s="1">
        <v>18</v>
      </c>
      <c r="E19" s="1" t="s">
        <v>171</v>
      </c>
    </row>
    <row r="20" spans="1:5" x14ac:dyDescent="0.55000000000000004">
      <c r="A20" s="1" t="s">
        <v>138</v>
      </c>
      <c r="B20" s="1" t="s">
        <v>118</v>
      </c>
      <c r="C20" s="1" t="s">
        <v>160</v>
      </c>
      <c r="D20" s="1">
        <v>19</v>
      </c>
      <c r="E20" s="1" t="s">
        <v>172</v>
      </c>
    </row>
    <row r="21" spans="1:5" x14ac:dyDescent="0.55000000000000004">
      <c r="A21" s="1" t="s">
        <v>139</v>
      </c>
      <c r="B21" s="1" t="s">
        <v>119</v>
      </c>
      <c r="C21" s="1" t="s">
        <v>161</v>
      </c>
      <c r="D21" s="1">
        <v>20</v>
      </c>
      <c r="E21" s="1" t="s">
        <v>172</v>
      </c>
    </row>
    <row r="66" s="2" customFormat="1" x14ac:dyDescent="0.55000000000000004"/>
  </sheetData>
  <sheetProtection algorithmName="SHA-512" hashValue="9b32RLMPVNq+vvkFZW7mBboAOEFNJSFiKox/KcDyQjfJK0Hz/NVCMopR2DNNGEF9hVDFy1j2uf1nC/fBVRzqzw==" saltValue="ek7OsABluNcUJnXzfQBBlA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0DC9E9-EE54-4201-859E-06E17397A4F5}">
  <sheetPr codeName="Sheet5"/>
  <dimension ref="A1:D81"/>
  <sheetViews>
    <sheetView workbookViewId="0">
      <selection sqref="A1:C1"/>
    </sheetView>
  </sheetViews>
  <sheetFormatPr defaultRowHeight="18" x14ac:dyDescent="0.55000000000000004"/>
  <cols>
    <col min="1" max="1" width="14.5" style="1" customWidth="1"/>
    <col min="2" max="3" width="32.83203125" style="1" customWidth="1"/>
    <col min="4" max="4" width="12.6640625" style="1" customWidth="1"/>
    <col min="5" max="16384" width="8.6640625" style="1"/>
  </cols>
  <sheetData>
    <row r="1" spans="1:4" s="4" customFormat="1" x14ac:dyDescent="0.55000000000000004">
      <c r="A1" s="4" t="s">
        <v>325</v>
      </c>
      <c r="B1" s="4" t="s">
        <v>326</v>
      </c>
      <c r="C1" s="4" t="s">
        <v>327</v>
      </c>
      <c r="D1" s="4" t="s">
        <v>316</v>
      </c>
    </row>
    <row r="2" spans="1:4" x14ac:dyDescent="0.55000000000000004">
      <c r="A2" s="1" t="s">
        <v>328</v>
      </c>
      <c r="B2" s="1" t="s">
        <v>339</v>
      </c>
      <c r="C2" s="1" t="s">
        <v>348</v>
      </c>
      <c r="D2" s="1">
        <v>1</v>
      </c>
    </row>
    <row r="3" spans="1:4" x14ac:dyDescent="0.55000000000000004">
      <c r="A3" s="1" t="s">
        <v>329</v>
      </c>
      <c r="B3" s="1" t="s">
        <v>340</v>
      </c>
      <c r="C3" s="1" t="s">
        <v>340</v>
      </c>
      <c r="D3" s="1">
        <v>2</v>
      </c>
    </row>
    <row r="4" spans="1:4" x14ac:dyDescent="0.55000000000000004">
      <c r="A4" s="1" t="s">
        <v>330</v>
      </c>
      <c r="B4" s="1" t="s">
        <v>341</v>
      </c>
      <c r="C4" s="1" t="s">
        <v>341</v>
      </c>
      <c r="D4" s="1">
        <v>3</v>
      </c>
    </row>
    <row r="5" spans="1:4" x14ac:dyDescent="0.55000000000000004">
      <c r="A5" s="1" t="s">
        <v>331</v>
      </c>
      <c r="B5" s="1" t="s">
        <v>342</v>
      </c>
      <c r="C5" s="1" t="s">
        <v>349</v>
      </c>
      <c r="D5" s="1">
        <v>4</v>
      </c>
    </row>
    <row r="6" spans="1:4" x14ac:dyDescent="0.55000000000000004">
      <c r="A6" s="1" t="s">
        <v>332</v>
      </c>
      <c r="B6" s="1" t="s">
        <v>33</v>
      </c>
      <c r="C6" s="1" t="s">
        <v>33</v>
      </c>
      <c r="D6" s="1">
        <v>5</v>
      </c>
    </row>
    <row r="7" spans="1:4" x14ac:dyDescent="0.55000000000000004">
      <c r="A7" s="1" t="s">
        <v>333</v>
      </c>
      <c r="B7" s="1" t="s">
        <v>343</v>
      </c>
      <c r="C7" s="1" t="s">
        <v>343</v>
      </c>
      <c r="D7" s="1">
        <v>6</v>
      </c>
    </row>
    <row r="8" spans="1:4" x14ac:dyDescent="0.55000000000000004">
      <c r="A8" s="1" t="s">
        <v>334</v>
      </c>
      <c r="B8" s="1" t="s">
        <v>344</v>
      </c>
      <c r="C8" s="1" t="s">
        <v>350</v>
      </c>
      <c r="D8" s="1">
        <v>7</v>
      </c>
    </row>
    <row r="9" spans="1:4" x14ac:dyDescent="0.55000000000000004">
      <c r="A9" s="1" t="s">
        <v>336</v>
      </c>
      <c r="B9" s="1" t="s">
        <v>345</v>
      </c>
      <c r="C9" s="1" t="s">
        <v>345</v>
      </c>
      <c r="D9" s="1">
        <v>8</v>
      </c>
    </row>
    <row r="10" spans="1:4" x14ac:dyDescent="0.55000000000000004">
      <c r="A10" s="1" t="s">
        <v>337</v>
      </c>
      <c r="B10" s="1" t="s">
        <v>346</v>
      </c>
      <c r="C10" s="1" t="s">
        <v>346</v>
      </c>
      <c r="D10" s="1">
        <v>9</v>
      </c>
    </row>
    <row r="11" spans="1:4" x14ac:dyDescent="0.55000000000000004">
      <c r="A11" s="1" t="s">
        <v>338</v>
      </c>
      <c r="B11" s="1" t="s">
        <v>347</v>
      </c>
      <c r="C11" s="1" t="s">
        <v>347</v>
      </c>
      <c r="D11" s="1">
        <v>10</v>
      </c>
    </row>
    <row r="66" spans="1:4" s="2" customFormat="1" x14ac:dyDescent="0.55000000000000004">
      <c r="B66" s="3"/>
      <c r="C66" s="3"/>
      <c r="D66" s="1"/>
    </row>
    <row r="67" spans="1:4" x14ac:dyDescent="0.55000000000000004">
      <c r="A67" s="2"/>
      <c r="B67" s="2"/>
      <c r="C67" s="2"/>
    </row>
    <row r="68" spans="1:4" x14ac:dyDescent="0.55000000000000004">
      <c r="A68" s="2"/>
      <c r="B68" s="2"/>
      <c r="C68" s="2"/>
    </row>
    <row r="69" spans="1:4" x14ac:dyDescent="0.55000000000000004">
      <c r="A69" s="2"/>
      <c r="B69" s="2"/>
      <c r="C69" s="2"/>
    </row>
    <row r="70" spans="1:4" x14ac:dyDescent="0.55000000000000004">
      <c r="A70" s="2"/>
      <c r="B70" s="2"/>
      <c r="C70" s="2"/>
    </row>
    <row r="71" spans="1:4" x14ac:dyDescent="0.55000000000000004">
      <c r="A71" s="2"/>
      <c r="B71" s="2"/>
      <c r="C71" s="2"/>
    </row>
    <row r="72" spans="1:4" x14ac:dyDescent="0.55000000000000004">
      <c r="A72" s="2"/>
      <c r="B72" s="2"/>
      <c r="C72" s="2"/>
    </row>
    <row r="73" spans="1:4" x14ac:dyDescent="0.55000000000000004">
      <c r="A73" s="2"/>
      <c r="B73" s="2"/>
      <c r="C73" s="2"/>
    </row>
    <row r="74" spans="1:4" x14ac:dyDescent="0.55000000000000004">
      <c r="A74" s="2"/>
    </row>
    <row r="75" spans="1:4" x14ac:dyDescent="0.55000000000000004">
      <c r="A75" s="2"/>
    </row>
    <row r="76" spans="1:4" x14ac:dyDescent="0.55000000000000004">
      <c r="A76" s="2"/>
    </row>
    <row r="77" spans="1:4" x14ac:dyDescent="0.55000000000000004">
      <c r="A77" s="2"/>
    </row>
    <row r="78" spans="1:4" x14ac:dyDescent="0.55000000000000004">
      <c r="A78" s="2"/>
    </row>
    <row r="79" spans="1:4" x14ac:dyDescent="0.55000000000000004">
      <c r="A79" s="2"/>
    </row>
    <row r="80" spans="1:4" x14ac:dyDescent="0.55000000000000004">
      <c r="A80" s="2"/>
    </row>
    <row r="81" spans="1:1" x14ac:dyDescent="0.55000000000000004">
      <c r="A81" s="2"/>
    </row>
  </sheetData>
  <sheetProtection algorithmName="SHA-512" hashValue="Tcyo4IQKDJIW0LmS8K7sRz2aCzIQPUPOh1+l1+PMjnuycCQRrxLKLiJjWvCgy8KCINZPssJrgkGE3/J3N5BlfQ==" saltValue="8Mlxk/pkHnezJL8n97pHVA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000CBB-9C41-4A64-B9A8-3FC501ABB3AC}">
  <sheetPr codeName="Sheet2"/>
  <dimension ref="A1:C66"/>
  <sheetViews>
    <sheetView workbookViewId="0">
      <selection sqref="A1:C1"/>
    </sheetView>
  </sheetViews>
  <sheetFormatPr defaultRowHeight="18" x14ac:dyDescent="0.55000000000000004"/>
  <cols>
    <col min="1" max="1" width="16.58203125" style="1" customWidth="1"/>
    <col min="2" max="2" width="19.25" style="1" customWidth="1"/>
    <col min="3" max="3" width="13.25" style="1" customWidth="1"/>
  </cols>
  <sheetData>
    <row r="1" spans="1:3" x14ac:dyDescent="0.55000000000000004">
      <c r="A1" s="4" t="s">
        <v>352</v>
      </c>
      <c r="B1" s="4" t="s">
        <v>366</v>
      </c>
      <c r="C1" s="4" t="s">
        <v>99</v>
      </c>
    </row>
    <row r="2" spans="1:3" x14ac:dyDescent="0.55000000000000004">
      <c r="A2" s="1" t="s">
        <v>353</v>
      </c>
      <c r="B2" s="1" t="s">
        <v>367</v>
      </c>
      <c r="C2" s="1">
        <v>1</v>
      </c>
    </row>
    <row r="3" spans="1:3" x14ac:dyDescent="0.55000000000000004">
      <c r="A3" s="1" t="s">
        <v>354</v>
      </c>
      <c r="B3" s="1" t="s">
        <v>368</v>
      </c>
      <c r="C3" s="1">
        <v>2</v>
      </c>
    </row>
    <row r="4" spans="1:3" x14ac:dyDescent="0.55000000000000004">
      <c r="A4" s="1" t="s">
        <v>355</v>
      </c>
      <c r="B4" s="1" t="s">
        <v>369</v>
      </c>
      <c r="C4" s="1">
        <v>3</v>
      </c>
    </row>
    <row r="5" spans="1:3" x14ac:dyDescent="0.55000000000000004">
      <c r="A5" s="1" t="s">
        <v>356</v>
      </c>
      <c r="B5" s="1" t="s">
        <v>370</v>
      </c>
      <c r="C5" s="1">
        <v>4</v>
      </c>
    </row>
    <row r="6" spans="1:3" x14ac:dyDescent="0.55000000000000004">
      <c r="A6" s="1" t="s">
        <v>166</v>
      </c>
      <c r="B6" s="1" t="s">
        <v>371</v>
      </c>
      <c r="C6" s="1">
        <v>5</v>
      </c>
    </row>
    <row r="7" spans="1:3" x14ac:dyDescent="0.55000000000000004">
      <c r="A7" s="1" t="s">
        <v>357</v>
      </c>
      <c r="B7" s="1" t="s">
        <v>372</v>
      </c>
      <c r="C7" s="1">
        <v>6</v>
      </c>
    </row>
    <row r="8" spans="1:3" x14ac:dyDescent="0.55000000000000004">
      <c r="A8" s="1" t="s">
        <v>358</v>
      </c>
      <c r="B8" s="1" t="s">
        <v>373</v>
      </c>
      <c r="C8" s="1">
        <v>7</v>
      </c>
    </row>
    <row r="9" spans="1:3" x14ac:dyDescent="0.55000000000000004">
      <c r="A9" s="1" t="s">
        <v>359</v>
      </c>
      <c r="B9" s="1" t="s">
        <v>374</v>
      </c>
      <c r="C9" s="1">
        <v>8</v>
      </c>
    </row>
    <row r="10" spans="1:3" x14ac:dyDescent="0.55000000000000004">
      <c r="A10" s="1" t="s">
        <v>164</v>
      </c>
      <c r="B10" s="1" t="s">
        <v>375</v>
      </c>
      <c r="C10" s="1">
        <v>9</v>
      </c>
    </row>
    <row r="11" spans="1:3" x14ac:dyDescent="0.55000000000000004">
      <c r="A11" s="1" t="s">
        <v>360</v>
      </c>
      <c r="B11" s="1" t="s">
        <v>376</v>
      </c>
      <c r="C11" s="1">
        <v>10</v>
      </c>
    </row>
    <row r="12" spans="1:3" x14ac:dyDescent="0.55000000000000004">
      <c r="A12" s="1" t="s">
        <v>361</v>
      </c>
      <c r="B12" s="1" t="s">
        <v>377</v>
      </c>
      <c r="C12" s="1">
        <v>11</v>
      </c>
    </row>
    <row r="13" spans="1:3" x14ac:dyDescent="0.55000000000000004">
      <c r="A13" s="1" t="s">
        <v>362</v>
      </c>
      <c r="B13" s="1" t="s">
        <v>378</v>
      </c>
      <c r="C13" s="1">
        <v>12</v>
      </c>
    </row>
    <row r="14" spans="1:3" x14ac:dyDescent="0.55000000000000004">
      <c r="A14" s="1" t="s">
        <v>363</v>
      </c>
      <c r="B14" s="1" t="s">
        <v>379</v>
      </c>
      <c r="C14" s="1">
        <v>13</v>
      </c>
    </row>
    <row r="15" spans="1:3" x14ac:dyDescent="0.55000000000000004">
      <c r="A15" s="1" t="s">
        <v>364</v>
      </c>
      <c r="B15" s="1" t="s">
        <v>380</v>
      </c>
      <c r="C15" s="1">
        <v>14</v>
      </c>
    </row>
    <row r="16" spans="1:3" x14ac:dyDescent="0.55000000000000004">
      <c r="A16" s="1" t="s">
        <v>365</v>
      </c>
      <c r="B16" s="1" t="s">
        <v>381</v>
      </c>
      <c r="C16" s="1">
        <v>15</v>
      </c>
    </row>
    <row r="17" spans="1:3" x14ac:dyDescent="0.55000000000000004">
      <c r="A17" s="1" t="s">
        <v>397</v>
      </c>
      <c r="B17" s="1" t="s">
        <v>398</v>
      </c>
      <c r="C17" s="1">
        <v>16</v>
      </c>
    </row>
    <row r="66" spans="1:3" x14ac:dyDescent="0.55000000000000004">
      <c r="A66" s="2"/>
      <c r="B66" s="2"/>
      <c r="C66" s="2"/>
    </row>
  </sheetData>
  <sheetProtection algorithmName="SHA-512" hashValue="+Ov60Ha8AJlYBk77w5fYW0VRo4gS7pIV0rBtXtd/NdzPGGjTugFVtX9oYNExbmOKOVj9BJdG6NDu5Mqq/vP9sg==" saltValue="W9suZtvv57/TFd9eJW4/iw==" spinCount="100000" sheet="1" objects="1" scenarios="1"/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0BBE3-793C-42E7-A1CB-BD1EC35C142B}">
  <sheetPr codeName="Sheet10"/>
  <dimension ref="A1:C66"/>
  <sheetViews>
    <sheetView workbookViewId="0">
      <selection sqref="A1:C1"/>
    </sheetView>
  </sheetViews>
  <sheetFormatPr defaultRowHeight="18" x14ac:dyDescent="0.55000000000000004"/>
  <cols>
    <col min="1" max="1" width="16.58203125" style="1" customWidth="1"/>
    <col min="2" max="2" width="19.25" style="1" customWidth="1"/>
    <col min="3" max="3" width="13.25" style="1" customWidth="1"/>
  </cols>
  <sheetData>
    <row r="1" spans="1:3" x14ac:dyDescent="0.55000000000000004">
      <c r="A1" s="4" t="s">
        <v>399</v>
      </c>
      <c r="B1" s="4" t="s">
        <v>400</v>
      </c>
      <c r="C1" s="4" t="s">
        <v>99</v>
      </c>
    </row>
    <row r="2" spans="1:3" x14ac:dyDescent="0.55000000000000004">
      <c r="A2" s="1">
        <v>1</v>
      </c>
      <c r="B2" s="1" t="s">
        <v>401</v>
      </c>
      <c r="C2" s="1">
        <v>1</v>
      </c>
    </row>
    <row r="3" spans="1:3" x14ac:dyDescent="0.55000000000000004">
      <c r="A3" s="1">
        <v>2</v>
      </c>
      <c r="B3" s="1" t="s">
        <v>402</v>
      </c>
      <c r="C3" s="1">
        <v>2</v>
      </c>
    </row>
    <row r="4" spans="1:3" x14ac:dyDescent="0.55000000000000004">
      <c r="A4" s="1">
        <v>3</v>
      </c>
      <c r="B4" s="1" t="s">
        <v>403</v>
      </c>
      <c r="C4" s="1">
        <v>3</v>
      </c>
    </row>
    <row r="5" spans="1:3" x14ac:dyDescent="0.55000000000000004">
      <c r="A5" s="1">
        <v>4</v>
      </c>
      <c r="B5" s="1" t="s">
        <v>404</v>
      </c>
      <c r="C5" s="1">
        <v>4</v>
      </c>
    </row>
    <row r="6" spans="1:3" x14ac:dyDescent="0.55000000000000004">
      <c r="A6" s="1">
        <v>6</v>
      </c>
      <c r="B6" s="1" t="s">
        <v>405</v>
      </c>
      <c r="C6" s="1">
        <v>5</v>
      </c>
    </row>
    <row r="66" spans="1:3" x14ac:dyDescent="0.55000000000000004">
      <c r="A66" s="2"/>
      <c r="B66" s="2"/>
      <c r="C66" s="2"/>
    </row>
  </sheetData>
  <sheetProtection algorithmName="SHA-512" hashValue="vh/cf/GcBlh7dWotLwtEsB+uddRbd31cj7ZeT4s3jfBa/5+/rlgGG7N92VhxySTT7uyYEh4zlBO3s6ZVbeWLaQ==" saltValue="ZlfbAHGjQYEAI2CSN9YjrQ==" spinCount="100000" sheet="1" objects="1" scenarios="1"/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0F291F-5253-452F-8E13-0C7A12415FA8}">
  <sheetPr codeName="Sheet3"/>
  <dimension ref="A1:C66"/>
  <sheetViews>
    <sheetView workbookViewId="0"/>
  </sheetViews>
  <sheetFormatPr defaultRowHeight="18" x14ac:dyDescent="0.55000000000000004"/>
  <cols>
    <col min="1" max="1" width="16.58203125" style="1" customWidth="1"/>
    <col min="2" max="2" width="19.25" style="1" customWidth="1"/>
    <col min="3" max="3" width="13.25" style="1" customWidth="1"/>
  </cols>
  <sheetData>
    <row r="1" spans="1:3" x14ac:dyDescent="0.55000000000000004">
      <c r="A1" s="4" t="s">
        <v>382</v>
      </c>
      <c r="B1" s="4" t="s">
        <v>383</v>
      </c>
      <c r="C1" s="4"/>
    </row>
    <row r="2" spans="1:3" x14ac:dyDescent="0.55000000000000004">
      <c r="A2" s="1">
        <v>1</v>
      </c>
      <c r="B2" s="1">
        <v>15</v>
      </c>
    </row>
    <row r="3" spans="1:3" x14ac:dyDescent="0.55000000000000004">
      <c r="A3" s="1">
        <v>2</v>
      </c>
      <c r="B3" s="1">
        <v>12</v>
      </c>
    </row>
    <row r="4" spans="1:3" x14ac:dyDescent="0.55000000000000004">
      <c r="A4" s="1">
        <v>3</v>
      </c>
      <c r="B4" s="1">
        <v>10</v>
      </c>
    </row>
    <row r="5" spans="1:3" x14ac:dyDescent="0.55000000000000004">
      <c r="A5" s="1">
        <v>4</v>
      </c>
      <c r="B5" s="1">
        <v>9</v>
      </c>
    </row>
    <row r="6" spans="1:3" x14ac:dyDescent="0.55000000000000004">
      <c r="A6" s="1">
        <v>5</v>
      </c>
      <c r="B6" s="1">
        <v>8</v>
      </c>
    </row>
    <row r="7" spans="1:3" x14ac:dyDescent="0.55000000000000004">
      <c r="A7" s="1">
        <v>6</v>
      </c>
      <c r="B7" s="1">
        <v>7</v>
      </c>
    </row>
    <row r="8" spans="1:3" x14ac:dyDescent="0.55000000000000004">
      <c r="A8" s="1">
        <v>7</v>
      </c>
      <c r="B8" s="1">
        <v>6</v>
      </c>
    </row>
    <row r="9" spans="1:3" x14ac:dyDescent="0.55000000000000004">
      <c r="A9" s="1">
        <v>8</v>
      </c>
      <c r="B9" s="1">
        <v>5</v>
      </c>
    </row>
    <row r="10" spans="1:3" x14ac:dyDescent="0.55000000000000004">
      <c r="A10" s="1">
        <v>9</v>
      </c>
      <c r="B10" s="1">
        <v>4</v>
      </c>
    </row>
    <row r="11" spans="1:3" x14ac:dyDescent="0.55000000000000004">
      <c r="A11" s="1">
        <v>10</v>
      </c>
      <c r="B11" s="1">
        <v>3</v>
      </c>
    </row>
    <row r="12" spans="1:3" x14ac:dyDescent="0.55000000000000004">
      <c r="A12" s="1">
        <v>11</v>
      </c>
      <c r="B12" s="1">
        <v>2</v>
      </c>
    </row>
    <row r="13" spans="1:3" x14ac:dyDescent="0.55000000000000004">
      <c r="A13" s="1">
        <v>12</v>
      </c>
      <c r="B13" s="1">
        <v>1</v>
      </c>
    </row>
    <row r="66" spans="1:3" x14ac:dyDescent="0.55000000000000004">
      <c r="A66" s="2"/>
      <c r="B66" s="2"/>
      <c r="C66" s="2"/>
    </row>
  </sheetData>
  <sheetProtection algorithmName="SHA-512" hashValue="btxNNB/Cxxv7AQ497FRrcRAmZNMOFrvowWxWprgAqtWIgo0Sgz9M6nLu7ezxj6XDskW9wlKOgW5Gyrdk/3WfcA==" saltValue="R3TTee0ipACucO14z8MC1g==" spinCount="100000" sheet="1" objects="1" scenarios="1"/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680F9E-F710-46C6-9368-3AC61AF7C0B2}">
  <sheetPr codeName="Sheet9"/>
  <dimension ref="A1:B13"/>
  <sheetViews>
    <sheetView workbookViewId="0">
      <selection sqref="A1:C1"/>
    </sheetView>
  </sheetViews>
  <sheetFormatPr defaultRowHeight="18" x14ac:dyDescent="0.55000000000000004"/>
  <cols>
    <col min="1" max="1" width="15.83203125" customWidth="1"/>
    <col min="2" max="2" width="15.9140625" customWidth="1"/>
  </cols>
  <sheetData>
    <row r="1" spans="1:2" x14ac:dyDescent="0.55000000000000004">
      <c r="A1" s="4" t="s">
        <v>385</v>
      </c>
      <c r="B1" s="4" t="s">
        <v>386</v>
      </c>
    </row>
    <row r="2" spans="1:2" x14ac:dyDescent="0.55000000000000004">
      <c r="A2" s="1" t="s">
        <v>387</v>
      </c>
      <c r="B2" s="1" t="s">
        <v>389</v>
      </c>
    </row>
    <row r="3" spans="1:2" x14ac:dyDescent="0.55000000000000004">
      <c r="A3" s="1" t="s">
        <v>388</v>
      </c>
      <c r="B3" s="1" t="s">
        <v>390</v>
      </c>
    </row>
    <row r="4" spans="1:2" x14ac:dyDescent="0.55000000000000004">
      <c r="A4" s="1"/>
      <c r="B4" s="1"/>
    </row>
    <row r="5" spans="1:2" x14ac:dyDescent="0.55000000000000004">
      <c r="A5" s="1"/>
      <c r="B5" s="1"/>
    </row>
    <row r="6" spans="1:2" x14ac:dyDescent="0.55000000000000004">
      <c r="A6" s="1"/>
      <c r="B6" s="1"/>
    </row>
    <row r="7" spans="1:2" x14ac:dyDescent="0.55000000000000004">
      <c r="A7" s="1"/>
      <c r="B7" s="1"/>
    </row>
    <row r="8" spans="1:2" x14ac:dyDescent="0.55000000000000004">
      <c r="A8" s="1"/>
      <c r="B8" s="1"/>
    </row>
    <row r="9" spans="1:2" x14ac:dyDescent="0.55000000000000004">
      <c r="A9" s="1"/>
      <c r="B9" s="1"/>
    </row>
    <row r="10" spans="1:2" x14ac:dyDescent="0.55000000000000004">
      <c r="A10" s="1"/>
      <c r="B10" s="1"/>
    </row>
    <row r="11" spans="1:2" x14ac:dyDescent="0.55000000000000004">
      <c r="A11" s="1"/>
      <c r="B11" s="1"/>
    </row>
    <row r="12" spans="1:2" x14ac:dyDescent="0.55000000000000004">
      <c r="A12" s="1"/>
      <c r="B12" s="1"/>
    </row>
    <row r="13" spans="1:2" x14ac:dyDescent="0.55000000000000004">
      <c r="A13" s="1"/>
      <c r="B13" s="1"/>
    </row>
  </sheetData>
  <sheetProtection algorithmName="SHA-512" hashValue="f95Sxh3TPXQzonx2HWyBeGDnC8rAaF1ZPC+Ehbm+GC64AsbKEjYl1my5MnB5tCoXcSGNVBLDvPMJmUsUFw0dcQ==" saltValue="j62HOqJcCjYWrAyr8pWBsg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RegistData</vt:lpstr>
      <vt:lpstr>Graph</vt:lpstr>
      <vt:lpstr>Data</vt:lpstr>
      <vt:lpstr>Settings</vt:lpstr>
      <vt:lpstr>Storage</vt:lpstr>
      <vt:lpstr>TrackMaster</vt:lpstr>
      <vt:lpstr>CupMaster</vt:lpstr>
      <vt:lpstr>VersionMaster</vt:lpstr>
      <vt:lpstr>LoungeTierMaster</vt:lpstr>
      <vt:lpstr>FormatMaster</vt:lpstr>
      <vt:lpstr>PointMaster</vt:lpstr>
      <vt:lpstr>LanguageMaster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臼井佑太郎</dc:creator>
  <cp:lastModifiedBy>臼井佑太郎</cp:lastModifiedBy>
  <dcterms:created xsi:type="dcterms:W3CDTF">2022-07-02T07:52:08Z</dcterms:created>
  <dcterms:modified xsi:type="dcterms:W3CDTF">2023-05-01T15:43:11Z</dcterms:modified>
</cp:coreProperties>
</file>