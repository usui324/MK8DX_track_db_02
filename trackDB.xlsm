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B35F3ED2-3158-4512-A89B-5989678A6AFE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0" yWindow="10" windowWidth="9400" windowHeight="14400" tabRatio="86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14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1" l="1"/>
  <c r="F7" i="11"/>
  <c r="F8" i="11"/>
  <c r="F9" i="11"/>
  <c r="F10" i="11"/>
  <c r="F11" i="11"/>
  <c r="F12" i="11"/>
  <c r="F13" i="11"/>
  <c r="F14" i="11"/>
  <c r="F15" i="11"/>
  <c r="F16" i="11"/>
  <c r="F5" i="11"/>
  <c r="B4" i="13" l="1"/>
  <c r="B3" i="13"/>
  <c r="C17" i="11"/>
</calcChain>
</file>

<file path=xl/sharedStrings.xml><?xml version="1.0" encoding="utf-8"?>
<sst xmlns="http://schemas.openxmlformats.org/spreadsheetml/2006/main" count="944" uniqueCount="510">
  <si>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</si>
  <si>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</si>
  <si>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</si>
  <si>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</si>
  <si>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</si>
  <si>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</si>
  <si>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</si>
  <si>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</si>
  <si>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</si>
  <si>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</si>
  <si>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</si>
  <si>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</si>
  <si>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</si>
  <si>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</si>
  <si>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</si>
  <si>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</si>
  <si>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</si>
  <si>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</si>
  <si>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</si>
  <si>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</si>
  <si>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</si>
  <si>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</si>
  <si>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</si>
  <si>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</si>
  <si>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</si>
  <si>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</si>
  <si>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</si>
  <si>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</si>
  <si>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</si>
  <si>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</si>
  <si>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</si>
  <si>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</si>
  <si>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</si>
  <si>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</si>
  <si>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</si>
  <si>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</si>
  <si>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</si>
  <si>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</si>
  <si>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</si>
  <si>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</si>
  <si>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</si>
  <si>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</si>
  <si>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</si>
  <si>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</si>
  <si>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</si>
  <si>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</si>
  <si>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</si>
  <si>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</si>
  <si>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</si>
  <si>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</si>
  <si>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</si>
  <si>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</si>
  <si>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</si>
  <si>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</si>
  <si>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</si>
  <si>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</si>
  <si>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</si>
  <si>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</si>
  <si>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</si>
  <si>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</si>
  <si>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</si>
  <si>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</si>
  <si>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</si>
  <si>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</si>
  <si>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</si>
  <si>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</si>
  <si>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</si>
  <si>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</si>
  <si>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</si>
  <si>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</si>
  <si>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</si>
  <si>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</si>
  <si>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</si>
  <si>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</si>
  <si>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</si>
  <si>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</si>
  <si>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</si>
  <si>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</si>
  <si>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</si>
  <si>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</si>
  <si>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</si>
  <si>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</si>
  <si>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</si>
  <si>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</si>
  <si>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</si>
  <si>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</si>
  <si>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</si>
  <si>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</si>
  <si>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</si>
  <si>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</si>
  <si>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</si>
  <si>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</si>
  <si>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</si>
  <si>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</si>
  <si>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</si>
  <si>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</si>
  <si>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</si>
  <si>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</si>
  <si>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</si>
  <si>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</si>
  <si>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</si>
  <si>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</si>
  <si>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</si>
  <si>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</si>
  <si>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</si>
  <si>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</si>
  <si>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</si>
  <si>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</si>
  <si>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</si>
  <si>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</si>
  <si>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</si>
  <si>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</si>
  <si>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</si>
  <si>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</si>
  <si>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</si>
  <si>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</si>
  <si>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</si>
  <si>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</si>
  <si>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</si>
  <si>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</si>
  <si>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</si>
  <si>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</si>
  <si>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</si>
  <si>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</si>
  <si>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</si>
  <si>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</si>
  <si>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</si>
  <si>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</si>
  <si>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</si>
  <si>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</si>
  <si>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</si>
  <si>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</si>
  <si>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</si>
  <si>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</si>
  <si>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</si>
  <si>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</si>
  <si>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</si>
  <si>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</si>
  <si>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</si>
  <si>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</si>
  <si>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</si>
  <si>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</si>
  <si>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</si>
  <si>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</si>
  <si>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</si>
  <si>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</si>
  <si>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</si>
  <si>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</si>
  <si>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</si>
  <si>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</si>
  <si>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</si>
  <si>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</si>
  <si>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</si>
  <si>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</si>
  <si>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</si>
  <si>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</si>
  <si>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</si>
  <si>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</si>
  <si>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</si>
  <si>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</si>
  <si>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</si>
  <si>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</si>
  <si>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</si>
  <si>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</si>
  <si>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</si>
  <si>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</si>
  <si>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</si>
  <si>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</si>
  <si>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</si>
  <si>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</si>
  <si>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</si>
  <si>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</si>
  <si>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</si>
  <si>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</si>
  <si>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</si>
  <si>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</si>
  <si>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</si>
  <si>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</si>
  <si>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</si>
  <si>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</si>
  <si>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</si>
  <si>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</si>
  <si>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</si>
  <si>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</si>
  <si>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</si>
  <si>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</si>
  <si>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</si>
  <si>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</si>
  <si>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</si>
  <si>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</si>
  <si>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</si>
  <si>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</si>
  <si>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</si>
  <si>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</si>
  <si>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</si>
  <si>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</si>
  <si>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</si>
  <si>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</si>
  <si>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</si>
  <si>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</si>
  <si>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</si>
  <si>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</si>
  <si>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</si>
  <si>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</si>
  <si>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</si>
  <si>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</si>
  <si>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</si>
  <si>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</si>
  <si>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</si>
  <si>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</si>
  <si>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</si>
  <si>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</si>
  <si>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</si>
  <si>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</si>
  <si>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</si>
  <si>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</si>
  <si>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</si>
  <si>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</si>
  <si>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</si>
  <si>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</si>
  <si>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</si>
  <si>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</si>
  <si>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</si>
  <si>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</si>
  <si>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</si>
  <si>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</si>
  <si>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</si>
  <si>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</si>
  <si>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</si>
  <si>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</si>
  <si>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</si>
  <si>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</si>
  <si>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</si>
  <si>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</si>
  <si>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</si>
  <si>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</si>
  <si>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</si>
  <si>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</si>
  <si>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</si>
  <si>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</si>
  <si>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</si>
  <si>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</si>
  <si>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</si>
  <si>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</si>
  <si>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</si>
  <si>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</si>
  <si>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</si>
  <si>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</si>
  <si>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</si>
  <si>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</si>
  <si>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</si>
  <si>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</si>
  <si>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</si>
  <si>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</si>
  <si>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</si>
  <si>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</si>
  <si>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</si>
  <si>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</si>
  <si>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</si>
  <si>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</si>
  <si>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</si>
  <si>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</si>
  <si>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</si>
  <si>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</si>
  <si>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</si>
  <si>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</si>
  <si>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</si>
  <si>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</si>
  <si>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</si>
  <si>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</si>
  <si>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</si>
  <si>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</si>
  <si>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</si>
  <si>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</si>
  <si>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</si>
  <si>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</si>
  <si>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</si>
  <si>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</si>
  <si>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</si>
  <si>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</si>
  <si>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</si>
  <si>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</si>
  <si>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</si>
  <si>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</si>
  <si>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</si>
  <si>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</si>
  <si>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</si>
  <si>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</si>
  <si>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</si>
  <si>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</si>
  <si>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</si>
  <si>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</si>
  <si>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</si>
  <si>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</si>
  <si>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</si>
  <si>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</si>
  <si>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</si>
  <si>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</si>
  <si>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</si>
  <si>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</si>
  <si>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</si>
  <si>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</si>
  <si>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</si>
  <si>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</si>
  <si>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</si>
  <si>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</si>
  <si>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</si>
  <si>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</si>
  <si>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</si>
  <si>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</si>
  <si>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</si>
  <si>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</si>
  <si>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</si>
  <si>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</si>
  <si>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</si>
  <si>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</si>
  <si>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</si>
  <si>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</si>
  <si>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</si>
  <si>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</si>
  <si>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</si>
  <si>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</si>
  <si>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</si>
  <si>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</si>
  <si>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</si>
  <si>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</si>
  <si>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</si>
  <si>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</si>
  <si>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</si>
  <si>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</si>
  <si>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</si>
  <si>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</si>
  <si>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</si>
  <si>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</si>
  <si>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</si>
  <si>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</si>
  <si>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</si>
  <si>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</si>
  <si>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</si>
  <si>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</si>
  <si>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</si>
  <si>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</si>
  <si>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</si>
  <si>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</si>
  <si>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</si>
  <si>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</si>
  <si>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</si>
  <si>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</si>
  <si>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</si>
  <si>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</si>
  <si>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</si>
  <si>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</si>
  <si>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</si>
  <si>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</si>
  <si>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</si>
  <si>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</si>
  <si>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</si>
  <si>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</si>
  <si>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</si>
  <si>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</si>
  <si>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</si>
  <si>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</si>
  <si>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</si>
  <si>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</si>
  <si>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</si>
  <si>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</si>
  <si>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</si>
  <si>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</si>
  <si>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</si>
  <si>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</si>
  <si>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</si>
  <si>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</si>
  <si>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</si>
  <si>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</si>
  <si>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</si>
  <si>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</si>
  <si>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</si>
  <si>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</si>
  <si>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</si>
  <si>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</si>
  <si>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</si>
  <si>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</si>
  <si>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</si>
  <si>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</si>
  <si>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</si>
  <si>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</si>
  <si>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</si>
  <si>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</si>
  <si>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</si>
  <si>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</si>
  <si>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</si>
  <si>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</si>
  <si>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</si>
  <si>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</si>
  <si>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</si>
  <si>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</si>
  <si>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</si>
  <si>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</si>
  <si>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</si>
  <si>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</si>
  <si>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</si>
  <si>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</si>
  <si>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</si>
  <si>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</si>
  <si>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</si>
  <si>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</si>
  <si>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</si>
  <si>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</si>
  <si>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</si>
  <si>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</si>
  <si>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</si>
  <si>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</si>
  <si>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</si>
  <si>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</si>
  <si>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</si>
  <si>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</si>
  <si>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</si>
  <si>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</si>
  <si>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</si>
  <si>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</si>
  <si>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</si>
  <si>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</si>
  <si>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</si>
  <si>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</si>
  <si>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</si>
  <si>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</si>
  <si>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</si>
  <si>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</si>
  <si>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規定レース数 / Min. number of races</t>
    <rPh sb="0" eb="2">
      <t>キテイ</t>
    </rPh>
    <rPh sb="5" eb="6">
      <t>スウ</t>
    </rPh>
    <phoneticPr fontId="1"/>
  </si>
  <si>
    <t>模擬tier / Match tier</t>
  </si>
  <si>
    <t>形式 / Format</t>
  </si>
  <si>
    <t>Tour アテネポリス</t>
    <phoneticPr fontId="1"/>
  </si>
  <si>
    <t>GC デイジークルーザー</t>
    <phoneticPr fontId="1"/>
  </si>
  <si>
    <t>Wii ムーンリッジ＆ハイウェイ</t>
    <phoneticPr fontId="1"/>
  </si>
  <si>
    <t>シャボンロード</t>
    <phoneticPr fontId="1"/>
  </si>
  <si>
    <t>Tour ロサンゼルスコースト</t>
    <phoneticPr fontId="1"/>
  </si>
  <si>
    <t>GBA サンセットこうや</t>
    <phoneticPr fontId="1"/>
  </si>
  <si>
    <t>Wii ノコノコみさき</t>
    <phoneticPr fontId="1"/>
  </si>
  <si>
    <t>Tour バンクーバーバレー</t>
    <phoneticPr fontId="1"/>
  </si>
  <si>
    <t>Tour Athen Dash</t>
    <phoneticPr fontId="1"/>
  </si>
  <si>
    <t>CGN Daisy Cruiser</t>
    <phoneticPr fontId="1"/>
  </si>
  <si>
    <t>Wii Moonview Highway</t>
    <phoneticPr fontId="1"/>
  </si>
  <si>
    <t>Squeaky Clean Sprint</t>
    <phoneticPr fontId="1"/>
  </si>
  <si>
    <t>Tour Los Angeles Laps</t>
    <phoneticPr fontId="1"/>
  </si>
  <si>
    <t>GBA Sunset Wilds</t>
    <phoneticPr fontId="1"/>
  </si>
  <si>
    <t>Wii Koopa Cape</t>
    <phoneticPr fontId="1"/>
  </si>
  <si>
    <t>Tour Vancouver Velocity</t>
    <phoneticPr fontId="1"/>
  </si>
  <si>
    <t>bADa</t>
    <phoneticPr fontId="1"/>
  </si>
  <si>
    <t>bDC</t>
    <phoneticPr fontId="1"/>
  </si>
  <si>
    <t>bMH</t>
    <phoneticPr fontId="1"/>
  </si>
  <si>
    <t>bSC</t>
    <phoneticPr fontId="1"/>
  </si>
  <si>
    <t>bLAL</t>
    <phoneticPr fontId="1"/>
  </si>
  <si>
    <t>bSW</t>
    <phoneticPr fontId="1"/>
  </si>
  <si>
    <t>bKC</t>
    <phoneticPr fontId="1"/>
  </si>
  <si>
    <t>bVV</t>
    <phoneticPr fontId="1"/>
  </si>
  <si>
    <t>tour</t>
    <phoneticPr fontId="1"/>
  </si>
  <si>
    <t>gc</t>
    <phoneticPr fontId="1"/>
  </si>
  <si>
    <t>wii</t>
    <phoneticPr fontId="1"/>
  </si>
  <si>
    <t>switch</t>
    <phoneticPr fontId="1"/>
  </si>
  <si>
    <t>gba</t>
    <phoneticPr fontId="1"/>
  </si>
  <si>
    <t>feather</t>
    <phoneticPr fontId="1"/>
  </si>
  <si>
    <t>ハネカップ</t>
    <phoneticPr fontId="1"/>
  </si>
  <si>
    <t>Feather Cup</t>
    <phoneticPr fontId="1"/>
  </si>
  <si>
    <t>b5</t>
    <phoneticPr fontId="1"/>
  </si>
  <si>
    <t>Cherry Cup</t>
    <phoneticPr fontId="1"/>
  </si>
  <si>
    <t>チェリーカップ</t>
    <phoneticPr fontId="1"/>
  </si>
  <si>
    <t>cherry</t>
    <phoneticPr fontId="1"/>
  </si>
  <si>
    <t>順位 /
 Rank</t>
    <rPh sb="0" eb="2">
      <t>ジュンイ</t>
    </rPh>
    <phoneticPr fontId="1"/>
  </si>
  <si>
    <t>スタート位置 /
 Starting pos.</t>
    <rPh sb="4" eb="6">
      <t>イチ</t>
    </rPh>
    <phoneticPr fontId="1"/>
  </si>
  <si>
    <t>pts</t>
    <phoneticPr fontId="1"/>
  </si>
  <si>
    <t>Tour ローマアバンティ</t>
    <phoneticPr fontId="1"/>
  </si>
  <si>
    <t>GC DKマウンテン</t>
  </si>
  <si>
    <t>Wii デイジーサーキット</t>
    <phoneticPr fontId="1"/>
  </si>
  <si>
    <t>Tour パックンしんでん</t>
    <phoneticPr fontId="1"/>
  </si>
  <si>
    <t>Wii レインボーロード</t>
    <phoneticPr fontId="1"/>
  </si>
  <si>
    <t>SFC クッパじょう3</t>
  </si>
  <si>
    <t>3DS ロゼッタプラネット</t>
  </si>
  <si>
    <t>Tour マドリードグランデ</t>
  </si>
  <si>
    <t>Tour Rome Avanty</t>
    <phoneticPr fontId="1"/>
  </si>
  <si>
    <t>GCN DK Mountain</t>
    <phoneticPr fontId="1"/>
  </si>
  <si>
    <t>Wii Daisy Circuit</t>
    <phoneticPr fontId="1"/>
  </si>
  <si>
    <t>Tour Piranha Plant Cove</t>
    <phoneticPr fontId="1"/>
  </si>
  <si>
    <t>Tour Madrid Drive</t>
    <phoneticPr fontId="1"/>
  </si>
  <si>
    <t>3DS Rosalina's Ice World</t>
    <phoneticPr fontId="1"/>
  </si>
  <si>
    <t>SNES Bowser's Castle 3</t>
    <phoneticPr fontId="1"/>
  </si>
  <si>
    <t>Wii Rainbow Road</t>
    <phoneticPr fontId="1"/>
  </si>
  <si>
    <t>tour</t>
    <phoneticPr fontId="1"/>
  </si>
  <si>
    <t>gc</t>
    <phoneticPr fontId="1"/>
  </si>
  <si>
    <t>wii</t>
    <phoneticPr fontId="1"/>
  </si>
  <si>
    <t>3ds</t>
    <phoneticPr fontId="1"/>
  </si>
  <si>
    <t>sfc</t>
    <phoneticPr fontId="1"/>
  </si>
  <si>
    <t xml:space="preserve">acorn </t>
    <phoneticPr fontId="1"/>
  </si>
  <si>
    <t xml:space="preserve">spiny </t>
    <phoneticPr fontId="1"/>
  </si>
  <si>
    <t>bRA</t>
    <phoneticPr fontId="1"/>
  </si>
  <si>
    <t>bDKM</t>
    <phoneticPr fontId="1"/>
  </si>
  <si>
    <t>bDCi</t>
    <phoneticPr fontId="1"/>
  </si>
  <si>
    <t>bPPC</t>
    <phoneticPr fontId="1"/>
  </si>
  <si>
    <t>bMD</t>
    <phoneticPr fontId="1"/>
  </si>
  <si>
    <t>bRIW</t>
    <phoneticPr fontId="1"/>
  </si>
  <si>
    <t>bBC3</t>
    <phoneticPr fontId="1"/>
  </si>
  <si>
    <t>bRR</t>
    <phoneticPr fontId="1"/>
  </si>
  <si>
    <t>acorn</t>
    <phoneticPr fontId="1"/>
  </si>
  <si>
    <t>spiny</t>
    <phoneticPr fontId="1"/>
  </si>
  <si>
    <t>ドングリカップ</t>
    <phoneticPr fontId="1"/>
  </si>
  <si>
    <t>トゲゾーカップ</t>
    <phoneticPr fontId="1"/>
  </si>
  <si>
    <t>Acorn Cup</t>
    <phoneticPr fontId="1"/>
  </si>
  <si>
    <t>Spiny Cup</t>
    <phoneticPr fontId="1"/>
  </si>
  <si>
    <t>b6</t>
    <phoneticPr fontId="1"/>
  </si>
  <si>
    <t>未選択</t>
    <phoneticPr fontId="1"/>
  </si>
  <si>
    <t>コースを選択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</si>
</sst>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0.0_ "/>
    <numFmt numFmtId="178" formatCode="0_ "/>
    <numFmt numFmtId="179" formatCode="000000"/>
    <numFmt numFmtId="180" formatCode="m/d/yyyy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4" xfId="0" applyFont="1" applyFill="1" applyBorder="1" applyAlignment="1" applyProtection="1">
      <alignment horizontal="center"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3" borderId="2" xfId="0" applyFont="1" applyFill="1" applyBorder="1" applyAlignment="1">
      <alignment horizontal="center" vertical="center" wrapText="1" shrinkToFit="1"/>
    </xf>
    <xf numFmtId="0" fontId="5" fillId="2" borderId="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/>
    </xf>
    <xf numFmtId="0" fontId="4" fillId="2" borderId="15" xfId="0" applyFont="1" applyFill="1" applyBorder="1" applyAlignment="1">
      <alignment horizontal="center" vertical="center" shrinkToFit="1"/>
    </xf>
    <xf numFmtId="0" fontId="4" fillId="2" borderId="16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right" vertical="center" shrinkToFit="1"/>
    </xf>
    <xf numFmtId="0" fontId="0" fillId="0" borderId="2" xfId="0" applyBorder="1" applyAlignment="1">
      <alignment horizontal="right" vertical="center"/>
    </xf>
    <xf numFmtId="0" fontId="0" fillId="0" borderId="0" xfId="0" applyAlignment="1">
      <alignment horizontal="right" vertical="center" shrinkToFit="1"/>
    </xf>
    <xf numFmtId="0" fontId="3" fillId="0" borderId="0" xfId="0" applyFont="1" applyAlignment="1">
      <alignment horizontal="right" vertical="center" shrinkToFit="1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 shrinkToFit="1"/>
    </xf>
    <xf numFmtId="0" fontId="4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180" fontId="0" fillId="0" borderId="0" xfId="0" applyNumberFormat="1">
      <alignment vertical="center"/>
    </xf>
    <xf numFmtId="176" fontId="0" fillId="0" borderId="0" xfId="0" applyNumberFormat="1" applyFill="1">
      <alignment vertical="center"/>
    </xf>
    <xf numFmtId="177" fontId="0" fillId="0" borderId="0" xfId="0" applyNumberFormat="1" applyFill="1">
      <alignment vertical="center"/>
    </xf>
    <xf numFmtId="176" fontId="0" fillId="0" borderId="0" xfId="0" applyNumberFormat="1" applyFill="1" applyAlignment="1">
      <alignment horizontal="left" vertical="center"/>
    </xf>
    <xf numFmtId="178" fontId="0" fillId="0" borderId="0" xfId="0" applyNumberFormat="1" applyFill="1">
      <alignment vertical="center"/>
    </xf>
  </cellXfs>
  <cellStyles count="1">
    <cellStyle name="標準" xfId="0" builtinId="0"/>
  </cellStyles>
  <dxfs count="21">
    <dxf>
      <numFmt numFmtId="180" formatCode="m/d/yyyy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numFmt numFmtId="178" formatCode="0_ "/>
    </dxf>
    <dxf>
      <numFmt numFmtId="178" formatCode="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5" Type="http://schemas.openxmlformats.org/officeDocument/2006/relationships/image" Target="../media/image16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1</xdr:row>
          <xdr:rowOff>95250</xdr:rowOff>
        </xdr:from>
        <xdr:to>
          <xdr:col>4</xdr:col>
          <xdr:colOff>374650</xdr:colOff>
          <xdr:row>2</xdr:row>
          <xdr:rowOff>190500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387350</xdr:colOff>
          <xdr:row>1</xdr:row>
          <xdr:rowOff>95250</xdr:rowOff>
        </xdr:from>
        <xdr:to>
          <xdr:col>4</xdr:col>
          <xdr:colOff>1377950</xdr:colOff>
          <xdr:row>2</xdr:row>
          <xdr:rowOff>190500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17</xdr:row>
          <xdr:rowOff>139700</xdr:rowOff>
        </xdr:from>
        <xdr:to>
          <xdr:col>4</xdr:col>
          <xdr:colOff>901700</xdr:colOff>
          <xdr:row>19</xdr:row>
          <xdr:rowOff>38100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1460500</xdr:colOff>
          <xdr:row>17</xdr:row>
          <xdr:rowOff>139700</xdr:rowOff>
        </xdr:from>
        <xdr:to>
          <xdr:col>3</xdr:col>
          <xdr:colOff>0</xdr:colOff>
          <xdr:row>19</xdr:row>
          <xdr:rowOff>31750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0</xdr:rowOff>
        </xdr:from>
        <xdr:to>
          <xdr:col>5</xdr:col>
          <xdr:colOff>63500</xdr:colOff>
          <xdr:row>1</xdr:row>
          <xdr:rowOff>127000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0</xdr:row>
          <xdr:rowOff>0</xdr:rowOff>
        </xdr:from>
        <xdr:to>
          <xdr:col>8</xdr:col>
          <xdr:colOff>228600</xdr:colOff>
          <xdr:row>1</xdr:row>
          <xdr:rowOff>127000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19050</xdr:rowOff>
        </xdr:from>
        <xdr:to>
          <xdr:col>4</xdr:col>
          <xdr:colOff>1308100</xdr:colOff>
          <xdr:row>4</xdr:row>
          <xdr:rowOff>146050</xdr:rowOff>
        </xdr:to>
        <xdr:sp macro="" textlink="">
          <xdr:nvSpPr>
            <xdr:cNvPr id="7174" name="SortByPointsBt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1308100</xdr:colOff>
          <xdr:row>3</xdr:row>
          <xdr:rowOff>19050</xdr:rowOff>
        </xdr:from>
        <xdr:to>
          <xdr:col>7</xdr:col>
          <xdr:colOff>228600</xdr:colOff>
          <xdr:row>4</xdr:row>
          <xdr:rowOff>146050</xdr:rowOff>
        </xdr:to>
        <xdr:sp macro="" textlink="">
          <xdr:nvSpPr>
            <xdr:cNvPr id="7175" name="SortByRankBtn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3</xdr:row>
          <xdr:rowOff>19050</xdr:rowOff>
        </xdr:from>
        <xdr:to>
          <xdr:col>9</xdr:col>
          <xdr:colOff>482600</xdr:colOff>
          <xdr:row>4</xdr:row>
          <xdr:rowOff>146050</xdr:rowOff>
        </xdr:to>
        <xdr:sp macro="" textlink="">
          <xdr:nvSpPr>
            <xdr:cNvPr id="7176" name="SortByTimesBtn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488950</xdr:colOff>
          <xdr:row>3</xdr:row>
          <xdr:rowOff>19050</xdr:rowOff>
        </xdr:from>
        <xdr:to>
          <xdr:col>12</xdr:col>
          <xdr:colOff>412750</xdr:colOff>
          <xdr:row>4</xdr:row>
          <xdr:rowOff>146050</xdr:rowOff>
        </xdr:to>
        <xdr:sp macro="" textlink="">
          <xdr:nvSpPr>
            <xdr:cNvPr id="7177" name="ResetFilterBtn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0</xdr:rowOff>
        </xdr:from>
        <xdr:to>
          <xdr:col>11</xdr:col>
          <xdr:colOff>323850</xdr:colOff>
          <xdr:row>1</xdr:row>
          <xdr:rowOff>127000</xdr:rowOff>
        </xdr:to>
        <xdr:sp macro="" textlink="">
          <xdr:nvSpPr>
            <xdr:cNvPr id="7178" name="GoToSettingsBtn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2</xdr:row>
          <xdr:rowOff>0</xdr:rowOff>
        </xdr:from>
        <xdr:to>
          <xdr:col>13</xdr:col>
          <xdr:colOff>241300</xdr:colOff>
          <xdr:row>3</xdr:row>
          <xdr:rowOff>114300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4</xdr:row>
          <xdr:rowOff>0</xdr:rowOff>
        </xdr:from>
        <xdr:to>
          <xdr:col>13</xdr:col>
          <xdr:colOff>241300</xdr:colOff>
          <xdr:row>5</xdr:row>
          <xdr:rowOff>120650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76200</xdr:rowOff>
        </xdr:from>
        <xdr:to>
          <xdr:col>3</xdr:col>
          <xdr:colOff>1441450</xdr:colOff>
          <xdr:row>3</xdr:row>
          <xdr:rowOff>31750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0</xdr:row>
          <xdr:rowOff>31750</xdr:rowOff>
        </xdr:from>
        <xdr:to>
          <xdr:col>3</xdr:col>
          <xdr:colOff>1695450</xdr:colOff>
          <xdr:row>1</xdr:row>
          <xdr:rowOff>69850</xdr:rowOff>
        </xdr:to>
        <xdr:sp macro="" textlink="">
          <xdr:nvSpPr>
            <xdr:cNvPr id="2051" name="GoToGraph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233.058358680559" createdVersion="8" refreshedVersion="8" minRefreshableVersion="3" recordCount="1" xr:uid="{10C144C9-C795-4D9B-8476-D1A09F9CD6A7}">
  <cacheSource type="worksheet">
    <worksheetSource name="テーブル1"/>
  </cacheSource>
  <cacheFields count="11">
    <cacheField name="registKey" numFmtId="179">
      <sharedItems containsNonDate="0" containsString="0" containsBlank="1"/>
    </cacheField>
    <cacheField name="date" numFmtId="14">
      <sharedItems containsNonDate="0" containsString="0" containsBlank="1"/>
    </cacheField>
    <cacheField name="tier" numFmtId="0">
      <sharedItems containsNonDate="0" containsBlank="1" count="6">
        <m/>
        <s v="tier-S" u="1"/>
        <s v="未選択" u="1"/>
        <s v="tier-CD" u="1"/>
        <s v="others" u="1"/>
        <s v="tier-D" u="1"/>
      </sharedItems>
    </cacheField>
    <cacheField name="format" numFmtId="0">
      <sharedItems containsNonDate="0" containsBlank="1" count="4">
        <m/>
        <s v="2v2" u="1"/>
        <s v="未選択" u="1"/>
        <s v="FFA" u="1"/>
      </sharedItems>
    </cacheField>
    <cacheField name="trackKey" numFmtId="0">
      <sharedItems containsNonDate="0" containsString="0" containsBlank="1"/>
    </cacheField>
    <cacheField name="trackNameJp" numFmtId="0">
      <sharedItems containsNonDate="0" containsBlank="1" count="52">
        <m/>
        <s v="スイーツキャニオン" u="1"/>
        <s v="マリオサーキット" u="1"/>
        <s v="マリオカートスタジアム" u="1"/>
        <s v="ウォーターパーク" u="1"/>
        <s v="Tour パリプロムナード" u="1"/>
        <s v="Tour ニンニンドージョー" u="1"/>
        <s v="Tour アムステルダムブルーム" u="1"/>
        <s v="SFC マリオサーキット3" u="1"/>
        <s v="Wii キノコキャニオン" u="1"/>
        <s v="3DS ネオクッパシティ" u="1"/>
        <s v="Wii グラグラかざん" u="1"/>
        <s v="DS ワルイージピンボール" u="1"/>
        <s v="SFC ドーナツへいや3" u="1"/>
        <s v="Tour シドニーサンシャイン" u="1"/>
        <s v="ヘイホーこうざん" u="1"/>
        <s v="DS ピーチガーデン" u="1"/>
        <s v="DS キノコリッジウェイ" u="1"/>
        <s v="Wii モーモーカントリー" u="1"/>
        <s v="GC ワルイージスタジアム" u="1"/>
        <s v="Tour ロンドンアベニュー" u="1"/>
        <s v="3DS DKジャングル" u="1"/>
        <s v="ねじれマンション" u="1"/>
        <s v="GBA マリオサーキット" u="1"/>
        <s v="Tour トーキョースクランブル" u="1"/>
        <s v="キノピオハーバー" u="1"/>
        <s v="ワリオスノーマウンテン" u="1"/>
        <s v="ホネホネさばく" u="1"/>
        <s v="N64 レインボーロード" u="1"/>
        <s v="3DS ロックロックマウンテン" u="1"/>
        <s v="N64 ヨッシーバレー" u="1"/>
        <s v="Tour シンガポールスプラッシュ" u="1"/>
        <s v="ツルツルツイスター" u="1"/>
        <s v="3DS ミュージックパーク" u="1"/>
        <s v="Tour バンコクラッシュ" u="1"/>
        <s v="ドッスンいせき" u="1"/>
        <s v="3DS キノピオサーキット" u="1"/>
        <s v="Tour ベルリンシュトラーセ" u="1"/>
        <s v="サンシャインくうこう" u="1"/>
        <s v="エレクトロドリーム" u="1"/>
        <s v="GBA リボンロード" u="1"/>
        <s v="GBA テレサレイク" u="1"/>
        <s v="DS ワリオスタジアム" u="1"/>
        <s v="Wii メイプルツリーハウス" u="1"/>
        <s v="Wii DKスノーボードクロス" u="1"/>
        <s v="GBA スノーランド" u="1"/>
        <s v="エキサイトバイク" u="1"/>
        <s v="Tour アテネポリス" u="1"/>
        <s v="Hoge" u="1"/>
        <s v="ドルフィンみさき" u="1"/>
        <s v="Wii ココナッツモール" u="1"/>
        <s v="ハイラルサーキット" u="1"/>
      </sharedItems>
    </cacheField>
    <cacheField name="trackNameEn" numFmtId="0">
      <sharedItems containsNonDate="0" containsString="0" containsBlank="1"/>
    </cacheField>
    <cacheField name="startingRank" numFmtId="0">
      <sharedItems containsNonDate="0" containsString="0" containsBlank="1" containsNumber="1" containsInteger="1" minValue="0" maxValue="12" count="14">
        <m/>
        <n v="0" u="1"/>
        <n v="3" u="1"/>
        <n v="4" u="1"/>
        <n v="12" u="1"/>
        <n v="5" u="1"/>
        <n v="2" u="1"/>
        <n v="6" u="1"/>
        <n v="7" u="1"/>
        <n v="1" u="1"/>
        <n v="8" u="1"/>
        <n v="9" u="1"/>
        <n v="10" u="1"/>
        <n v="11" u="1"/>
      </sharedItems>
    </cacheField>
    <cacheField name="resultRank" numFmtId="0">
      <sharedItems containsNonDate="0" containsString="0" containsBlank="1"/>
    </cacheField>
    <cacheField name="resultPoint" numFmtId="0">
      <sharedItems containsNonDate="0" containsString="0" containsBlank="1"/>
    </cacheField>
    <cacheField name="detail" numFmtId="0">
      <sharedItems containsNonDate="0" containsBlank="1" count="6">
        <m/>
        <s v="てすと" u="1"/>
        <s v="前" u="1"/>
        <s v="テスト" u="1"/>
        <s v="早め戻り" u="1"/>
        <s v="打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x v="0"/>
    <m/>
    <x v="0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14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6:D7" firstHeaderRow="0" firstDataRow="1" firstDataCol="1" rowPageCount="4" colPageCount="1"/>
  <pivotFields count="11">
    <pivotField showAll="0"/>
    <pivotField showAll="0"/>
    <pivotField name="模擬tier / Match tier" axis="axisPage" showAll="0">
      <items count="7">
        <item m="1" x="4"/>
        <item m="1" x="5"/>
        <item x="0"/>
        <item m="1" x="3"/>
        <item m="1" x="2"/>
        <item m="1" x="1"/>
        <item t="default"/>
      </items>
    </pivotField>
    <pivotField name="形式 / Format" axis="axisPage" showAll="0">
      <items count="5">
        <item m="1" x="1"/>
        <item x="0"/>
        <item m="1" x="3"/>
        <item m="1" x="2"/>
        <item t="default"/>
      </items>
    </pivotField>
    <pivotField name="trackKey" dataField="1" showAll="0" countASubtotal="1"/>
    <pivotField name="コース名 / Track name" axis="axisRow" showAll="0" measureFilter="1" sortType="ascending">
      <items count="53">
        <item m="1" x="3"/>
        <item m="1" x="4"/>
        <item m="1" x="37"/>
        <item m="1" x="18"/>
        <item m="1" x="24"/>
        <item m="1" x="14"/>
        <item m="1" x="46"/>
        <item m="1" x="38"/>
        <item m="1" x="9"/>
        <item m="1" x="45"/>
        <item m="1" x="23"/>
        <item m="1" x="42"/>
        <item m="1" x="40"/>
        <item m="1" x="39"/>
        <item m="1" x="13"/>
        <item m="1" x="5"/>
        <item m="1" x="33"/>
        <item m="1" x="11"/>
        <item m="1" x="32"/>
        <item m="1" x="6"/>
        <item m="1" x="36"/>
        <item m="1" x="41"/>
        <item m="1" x="50"/>
        <item m="1" x="21"/>
        <item m="1" x="51"/>
        <item m="1" x="44"/>
        <item m="1" x="28"/>
        <item m="1" x="48"/>
        <item m="1" x="31"/>
        <item m="1" x="19"/>
        <item x="0"/>
        <item m="1" x="8"/>
        <item m="1" x="22"/>
        <item m="1" x="34"/>
        <item m="1" x="27"/>
        <item m="1" x="20"/>
        <item m="1" x="43"/>
        <item m="1" x="7"/>
        <item m="1" x="26"/>
        <item m="1" x="16"/>
        <item m="1" x="29"/>
        <item m="1" x="10"/>
        <item m="1" x="17"/>
        <item m="1" x="49"/>
        <item m="1" x="35"/>
        <item m="1" x="15"/>
        <item m="1" x="25"/>
        <item m="1" x="12"/>
        <item m="1" x="30"/>
        <item m="1" x="47"/>
        <item m="1" x="1"/>
        <item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ame="スタート順位 / Starting rank" axis="axisPage" showAll="0">
      <items count="15">
        <item m="1" x="9"/>
        <item m="1" x="6"/>
        <item m="1" x="3"/>
        <item m="1" x="5"/>
        <item m="1" x="7"/>
        <item m="1" x="10"/>
        <item m="1" x="12"/>
        <item m="1" x="13"/>
        <item m="1" x="4"/>
        <item m="1" x="2"/>
        <item m="1" x="8"/>
        <item m="1" x="11"/>
        <item m="1" x="1"/>
        <item x="0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0"/>
        <item m="1" x="2"/>
        <item m="1" x="5"/>
        <item m="1" x="3"/>
        <item m="1" x="1"/>
        <item m="1" x="4"/>
      </items>
    </pivotField>
  </pivotFields>
  <rowFields count="1">
    <field x="5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4" subtotal="count" baseField="5" baseItem="28" numFmtId="178"/>
  </dataFields>
  <formats count="18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7" type="button" dataOnly="0" labelOnly="1" outline="0" axis="axisPage" fieldPosition="2"/>
    </format>
    <format dxfId="16">
      <pivotArea type="topRight" dataOnly="0" labelOnly="1" outline="0" fieldPosition="0"/>
    </format>
    <format dxfId="15">
      <pivotArea field="5" type="button" dataOnly="0" labelOnly="1" outline="0" axis="axisRow" fieldPosition="0"/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">
      <pivotArea dataOnly="0" labelOnly="1" outline="0" fieldPosition="0">
        <references count="1">
          <reference field="7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5" type="button" dataOnly="0" labelOnly="1" outline="0" axis="axisRow" fieldPosition="0"/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valueGreaterThanOrEqual" evalOrder="-1" id="26" iMeasureFld="2">
      <autoFilter ref="A1">
        <filterColumn colId="0">
          <customFilters>
            <customFilter operator="greaterThanOrEqual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2" insertRow="1" totalsRowShown="0" headerRowDxfId="2">
  <autoFilter ref="A1:K2" xr:uid="{345AFA44-543A-4814-B27E-EDB62A582CCD}"/>
  <tableColumns count="11">
    <tableColumn id="1" xr3:uid="{F751EC9B-401A-410E-A20D-A6E465EC5469}" name="registKey" dataDxfId="1"/>
    <tableColumn id="2" xr3:uid="{074A40CA-00D3-455C-B2E2-DC85C6B33144}" name="date" dataDxfId="0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ontrol" Target="../activeX/activeX9.xml"/><Relationship Id="rId18" Type="http://schemas.openxmlformats.org/officeDocument/2006/relationships/image" Target="../media/image11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6.xml"/><Relationship Id="rId12" Type="http://schemas.openxmlformats.org/officeDocument/2006/relationships/image" Target="../media/image8.emf"/><Relationship Id="rId17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0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5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ontrol" Target="../activeX/activeX10.xml"/><Relationship Id="rId10" Type="http://schemas.openxmlformats.org/officeDocument/2006/relationships/image" Target="../media/image7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7.xml"/><Relationship Id="rId1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8.emf"/><Relationship Id="rId5" Type="http://schemas.openxmlformats.org/officeDocument/2006/relationships/control" Target="../activeX/activeX18.xml"/><Relationship Id="rId4" Type="http://schemas.openxmlformats.org/officeDocument/2006/relationships/image" Target="../media/image17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F17"/>
  <sheetViews>
    <sheetView tabSelected="1" workbookViewId="0">
      <selection activeCell="C2" sqref="C2"/>
    </sheetView>
  </sheetViews>
  <sheetFormatPr defaultColWidth="8.6640625" defaultRowHeight="18" x14ac:dyDescent="0.55000000000000004"/>
  <cols>
    <col min="1" max="1" width="5.08203125" style="7" customWidth="1"/>
    <col min="2" max="2" width="29.08203125" style="11" customWidth="1"/>
    <col min="3" max="3" width="10.08203125" style="7" customWidth="1"/>
    <col min="4" max="4" width="8.5" style="7" customWidth="1"/>
    <col min="5" max="5" width="18.5" style="7" customWidth="1"/>
    <col min="6" max="6" width="8.6640625" style="6" hidden="1" customWidth="1"/>
    <col min="7" max="16384" width="8.6640625" style="7"/>
  </cols>
  <sheetData>
    <row r="1" spans="1:6" ht="22.5" x14ac:dyDescent="0.55000000000000004">
      <c r="A1" s="58" t="s">
        <v>416</v>
      </c>
      <c r="B1" s="58"/>
      <c r="C1" s="58"/>
      <c r="D1" s="58"/>
      <c r="E1" s="58"/>
    </row>
    <row r="2" spans="1:6" ht="22.5" x14ac:dyDescent="0.55000000000000004">
      <c r="A2" s="19" t="s">
        <v>395</v>
      </c>
      <c r="B2" s="20" t="s">
        <v>405</v>
      </c>
      <c r="C2" s="26" t="s">
        <v>508</v>
      </c>
      <c r="D2" s="46"/>
      <c r="E2" s="44"/>
    </row>
    <row r="3" spans="1:6" ht="22.5" x14ac:dyDescent="0.55000000000000004">
      <c r="A3" s="21"/>
      <c r="B3" s="22" t="s">
        <v>406</v>
      </c>
      <c r="C3" s="27" t="s">
        <v>508</v>
      </c>
      <c r="D3" s="47"/>
      <c r="E3" s="45"/>
    </row>
    <row r="4" spans="1:6" s="9" customFormat="1" ht="27.5" customHeight="1" x14ac:dyDescent="0.55000000000000004">
      <c r="A4" s="23"/>
      <c r="B4" s="24" t="s">
        <v>407</v>
      </c>
      <c r="C4" s="43" t="s">
        <v>468</v>
      </c>
      <c r="D4" s="43" t="s">
        <v>467</v>
      </c>
      <c r="E4" s="25" t="s">
        <v>427</v>
      </c>
      <c r="F4" s="8"/>
    </row>
    <row r="5" spans="1:6" ht="20" customHeight="1" x14ac:dyDescent="0.55000000000000004">
      <c r="A5" s="10">
        <v>1</v>
      </c>
      <c r="B5" s="28" t="s">
        <v>509</v>
      </c>
      <c r="C5" s="29"/>
      <c r="D5" s="30"/>
      <c r="E5" s="30"/>
      <c r="F5" s="6">
        <f>IF(D5="",0,IF(D5=1,15,IF(D5=2,12,13-D5)))</f>
        <v>0</v>
      </c>
    </row>
    <row r="6" spans="1:6" ht="20" customHeight="1" x14ac:dyDescent="0.55000000000000004">
      <c r="A6" s="12">
        <v>2</v>
      </c>
      <c r="B6" s="31" t="s">
        <v>509</v>
      </c>
      <c r="C6" s="32"/>
      <c r="D6" s="32"/>
      <c r="E6" s="32"/>
      <c r="F6" s="6">
        <f t="shared" ref="F6:F16" si="0">IF(D6="",0,IF(D6=1,15,IF(D6=2,12,13-D6)))</f>
        <v>0</v>
      </c>
    </row>
    <row r="7" spans="1:6" ht="20" customHeight="1" x14ac:dyDescent="0.55000000000000004">
      <c r="A7" s="13">
        <v>3</v>
      </c>
      <c r="B7" s="28" t="s">
        <v>509</v>
      </c>
      <c r="C7" s="30"/>
      <c r="D7" s="30"/>
      <c r="E7" s="30"/>
      <c r="F7" s="6">
        <f t="shared" si="0"/>
        <v>0</v>
      </c>
    </row>
    <row r="8" spans="1:6" ht="20" customHeight="1" x14ac:dyDescent="0.55000000000000004">
      <c r="A8" s="12">
        <v>4</v>
      </c>
      <c r="B8" s="31" t="s">
        <v>509</v>
      </c>
      <c r="C8" s="32"/>
      <c r="D8" s="32"/>
      <c r="E8" s="32"/>
      <c r="F8" s="6">
        <f t="shared" si="0"/>
        <v>0</v>
      </c>
    </row>
    <row r="9" spans="1:6" ht="20" customHeight="1" x14ac:dyDescent="0.55000000000000004">
      <c r="A9" s="13">
        <v>5</v>
      </c>
      <c r="B9" s="28" t="s">
        <v>509</v>
      </c>
      <c r="C9" s="30"/>
      <c r="D9" s="30"/>
      <c r="E9" s="30"/>
      <c r="F9" s="6">
        <f t="shared" si="0"/>
        <v>0</v>
      </c>
    </row>
    <row r="10" spans="1:6" ht="20" customHeight="1" x14ac:dyDescent="0.55000000000000004">
      <c r="A10" s="12">
        <v>6</v>
      </c>
      <c r="B10" s="31" t="s">
        <v>509</v>
      </c>
      <c r="C10" s="32"/>
      <c r="D10" s="32"/>
      <c r="E10" s="32"/>
      <c r="F10" s="6">
        <f t="shared" si="0"/>
        <v>0</v>
      </c>
    </row>
    <row r="11" spans="1:6" ht="20" customHeight="1" x14ac:dyDescent="0.55000000000000004">
      <c r="A11" s="13">
        <v>7</v>
      </c>
      <c r="B11" s="28" t="s">
        <v>509</v>
      </c>
      <c r="C11" s="30"/>
      <c r="D11" s="30"/>
      <c r="E11" s="30"/>
      <c r="F11" s="6">
        <f t="shared" si="0"/>
        <v>0</v>
      </c>
    </row>
    <row r="12" spans="1:6" ht="20" customHeight="1" x14ac:dyDescent="0.55000000000000004">
      <c r="A12" s="12">
        <v>8</v>
      </c>
      <c r="B12" s="31" t="s">
        <v>509</v>
      </c>
      <c r="C12" s="32"/>
      <c r="D12" s="32"/>
      <c r="E12" s="32"/>
      <c r="F12" s="6">
        <f t="shared" si="0"/>
        <v>0</v>
      </c>
    </row>
    <row r="13" spans="1:6" ht="20" customHeight="1" x14ac:dyDescent="0.55000000000000004">
      <c r="A13" s="13">
        <v>9</v>
      </c>
      <c r="B13" s="28" t="s">
        <v>509</v>
      </c>
      <c r="C13" s="30"/>
      <c r="D13" s="30"/>
      <c r="E13" s="30"/>
      <c r="F13" s="6">
        <f t="shared" si="0"/>
        <v>0</v>
      </c>
    </row>
    <row r="14" spans="1:6" ht="20" customHeight="1" x14ac:dyDescent="0.55000000000000004">
      <c r="A14" s="12">
        <v>10</v>
      </c>
      <c r="B14" s="31" t="s">
        <v>415</v>
      </c>
      <c r="C14" s="32"/>
      <c r="D14" s="32"/>
      <c r="E14" s="32"/>
      <c r="F14" s="6">
        <f t="shared" si="0"/>
        <v>0</v>
      </c>
    </row>
    <row r="15" spans="1:6" ht="20" customHeight="1" x14ac:dyDescent="0.55000000000000004">
      <c r="A15" s="13">
        <v>11</v>
      </c>
      <c r="B15" s="28" t="s">
        <v>415</v>
      </c>
      <c r="C15" s="30"/>
      <c r="D15" s="30"/>
      <c r="E15" s="30"/>
      <c r="F15" s="6">
        <f t="shared" si="0"/>
        <v>0</v>
      </c>
    </row>
    <row r="16" spans="1:6" ht="20" customHeight="1" x14ac:dyDescent="0.55000000000000004">
      <c r="A16" s="14">
        <v>12</v>
      </c>
      <c r="B16" s="33" t="s">
        <v>415</v>
      </c>
      <c r="C16" s="34"/>
      <c r="D16" s="34"/>
      <c r="E16" s="34"/>
      <c r="F16" s="6">
        <f t="shared" si="0"/>
        <v>0</v>
      </c>
    </row>
    <row r="17" spans="1:5" ht="20" customHeight="1" x14ac:dyDescent="0.55000000000000004">
      <c r="A17" s="15"/>
      <c r="B17" s="16" t="s">
        <v>394</v>
      </c>
      <c r="C17" s="17">
        <f>SUM(F5:F16)</f>
        <v>0</v>
      </c>
      <c r="D17" s="17" t="s">
        <v>469</v>
      </c>
      <c r="E17" s="18"/>
    </row>
  </sheetData>
  <sheetProtection algorithmName="SHA-512" hashValue="i/xXwu65yAAdlT9rd/sw3pHKKtzthXsVsjK9GiDsp81JW3nS9mnlug2+GeAoI5jeeW72Zl9SRQ8DCK1GQfly5Q==" saltValue="Nz1kbPtLnsh4OgkOKCE/kw==" spinCount="100000" sheet="1" selectLockedCells="1"/>
  <mergeCells count="1">
    <mergeCell ref="A1:E1"/>
  </mergeCells>
  <phoneticPr fontId="1"/>
  <dataValidations count="1">
    <dataValidation type="whole" allowBlank="1" showInputMessage="1" showErrorMessage="1" sqref="C5:D16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105" r:id="rId4" name="GoToGraphBtn">
          <controlPr defaultSize="0" autoLine="0" r:id="rId5">
            <anchor moveWithCells="1">
              <from>
                <xdr:col>1</xdr:col>
                <xdr:colOff>1460500</xdr:colOff>
                <xdr:row>17</xdr:row>
                <xdr:rowOff>139700</xdr:rowOff>
              </from>
              <to>
                <xdr:col>3</xdr:col>
                <xdr:colOff>0</xdr:colOff>
                <xdr:row>19</xdr:row>
                <xdr:rowOff>31750</xdr:rowOff>
              </to>
            </anchor>
          </controlPr>
        </control>
      </mc:Choice>
      <mc:Fallback>
        <control shapeId="4105" r:id="rId4" name="GoToGraphBtn"/>
      </mc:Fallback>
    </mc:AlternateContent>
    <mc:AlternateContent xmlns:mc="http://schemas.openxmlformats.org/markup-compatibility/2006">
      <mc:Choice Requires="x14">
        <control shapeId="4104" r:id="rId6" name="GoToDataBtn">
          <controlPr defaultSize="0" autoLine="0" r:id="rId7">
            <anchor moveWithCells="1">
              <from>
                <xdr:col>3</xdr:col>
                <xdr:colOff>25400</xdr:colOff>
                <xdr:row>17</xdr:row>
                <xdr:rowOff>139700</xdr:rowOff>
              </from>
              <to>
                <xdr:col>4</xdr:col>
                <xdr:colOff>901700</xdr:colOff>
                <xdr:row>19</xdr:row>
                <xdr:rowOff>38100</xdr:rowOff>
              </to>
            </anchor>
          </controlPr>
        </control>
      </mc:Choice>
      <mc:Fallback>
        <control shapeId="4104" r:id="rId6" name="GoToDataBtn"/>
      </mc:Fallback>
    </mc:AlternateContent>
    <mc:AlternateContent xmlns:mc="http://schemas.openxmlformats.org/markup-compatibility/2006">
      <mc:Choice Requires="x14">
        <control shapeId="4103" r:id="rId8" name="ResetBtn">
          <controlPr defaultSize="0" autoLine="0" autoPict="0" r:id="rId9">
            <anchor moveWithCells="1">
              <from>
                <xdr:col>4</xdr:col>
                <xdr:colOff>387350</xdr:colOff>
                <xdr:row>1</xdr:row>
                <xdr:rowOff>95250</xdr:rowOff>
              </from>
              <to>
                <xdr:col>4</xdr:col>
                <xdr:colOff>1377950</xdr:colOff>
                <xdr:row>2</xdr:row>
                <xdr:rowOff>190500</xdr:rowOff>
              </to>
            </anchor>
          </controlPr>
        </control>
      </mc:Choice>
      <mc:Fallback>
        <control shapeId="4103" r:id="rId8" name="ResetBtn"/>
      </mc:Fallback>
    </mc:AlternateContent>
    <mc:AlternateContent xmlns:mc="http://schemas.openxmlformats.org/markup-compatibility/2006">
      <mc:Choice Requires="x14">
        <control shapeId="4099" r:id="rId10" name="RegistDataBtn">
          <controlPr defaultSize="0" autoLine="0" autoPict="0" r:id="rId11">
            <anchor moveWithCells="1">
              <from>
                <xdr:col>3</xdr:col>
                <xdr:colOff>31750</xdr:colOff>
                <xdr:row>1</xdr:row>
                <xdr:rowOff>95250</xdr:rowOff>
              </from>
              <to>
                <xdr:col>4</xdr:col>
                <xdr:colOff>374650</xdr:colOff>
                <xdr:row>2</xdr:row>
                <xdr:rowOff>190500</xdr:rowOff>
              </to>
            </anchor>
          </controlPr>
        </control>
      </mc:Choice>
      <mc:Fallback>
        <control shapeId="4099" r:id="rId10" name="RegistData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B5:B16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130"/>
  <sheetViews>
    <sheetView workbookViewId="0"/>
  </sheetViews>
  <sheetFormatPr defaultRowHeight="18" x14ac:dyDescent="0.55000000000000004"/>
  <cols>
    <col min="1" max="1" width="26.1640625" style="39" bestFit="1" customWidth="1"/>
    <col min="2" max="2" width="11.25" style="40" bestFit="1" customWidth="1"/>
    <col min="3" max="3" width="9.75" style="40" bestFit="1" customWidth="1"/>
    <col min="4" max="4" width="12.5" style="41" bestFit="1" customWidth="1"/>
    <col min="5" max="5" width="19.6640625" style="39" bestFit="1" customWidth="1"/>
    <col min="6" max="7" width="5.58203125" style="39" bestFit="1" customWidth="1"/>
    <col min="8" max="9" width="6.6640625" style="39" bestFit="1" customWidth="1"/>
    <col min="10" max="10" width="6.5" style="39" bestFit="1" customWidth="1"/>
    <col min="11" max="13" width="5.58203125" style="39" bestFit="1" customWidth="1"/>
    <col min="14" max="14" width="6.1640625" style="39" bestFit="1" customWidth="1"/>
    <col min="15" max="15" width="17.1640625" style="39" bestFit="1" customWidth="1"/>
    <col min="16" max="16" width="17.25" style="39" bestFit="1" customWidth="1"/>
    <col min="17" max="17" width="17.1640625" style="39" bestFit="1" customWidth="1"/>
    <col min="18" max="18" width="17.25" style="39" bestFit="1" customWidth="1"/>
    <col min="19" max="19" width="17.1640625" style="39" bestFit="1" customWidth="1"/>
    <col min="20" max="20" width="17.25" style="39" bestFit="1" customWidth="1"/>
    <col min="21" max="21" width="17.1640625" style="39" bestFit="1" customWidth="1"/>
    <col min="22" max="22" width="17.25" style="39" bestFit="1" customWidth="1"/>
    <col min="23" max="23" width="17.1640625" style="39" bestFit="1" customWidth="1"/>
    <col min="24" max="24" width="17.25" style="39" bestFit="1" customWidth="1"/>
    <col min="25" max="25" width="17.1640625" style="39" bestFit="1" customWidth="1"/>
    <col min="26" max="26" width="23.6640625" style="39" bestFit="1" customWidth="1"/>
    <col min="27" max="27" width="23.58203125" style="39" bestFit="1" customWidth="1"/>
    <col min="28" max="16384" width="8.6640625" style="39"/>
  </cols>
  <sheetData>
    <row r="1" spans="1:14" x14ac:dyDescent="0.55000000000000004">
      <c r="A1" s="61" t="s">
        <v>429</v>
      </c>
      <c r="B1" s="61" t="s">
        <v>423</v>
      </c>
    </row>
    <row r="2" spans="1:14" x14ac:dyDescent="0.55000000000000004">
      <c r="A2" s="61" t="s">
        <v>430</v>
      </c>
      <c r="B2" s="61" t="s">
        <v>423</v>
      </c>
    </row>
    <row r="3" spans="1:14" x14ac:dyDescent="0.55000000000000004">
      <c r="A3" s="61" t="s">
        <v>424</v>
      </c>
      <c r="B3" s="62" t="s">
        <v>423</v>
      </c>
      <c r="C3"/>
      <c r="E3"/>
      <c r="F3"/>
      <c r="G3"/>
      <c r="H3"/>
      <c r="I3"/>
      <c r="J3"/>
      <c r="K3"/>
      <c r="L3"/>
      <c r="M3"/>
      <c r="N3"/>
    </row>
    <row r="4" spans="1:14" x14ac:dyDescent="0.55000000000000004">
      <c r="A4" s="61" t="s">
        <v>426</v>
      </c>
      <c r="B4" s="61" t="s">
        <v>423</v>
      </c>
      <c r="C4"/>
      <c r="E4"/>
      <c r="F4"/>
      <c r="G4"/>
      <c r="H4"/>
      <c r="I4"/>
      <c r="J4"/>
      <c r="K4"/>
      <c r="L4"/>
      <c r="M4"/>
      <c r="N4"/>
    </row>
    <row r="5" spans="1:14" x14ac:dyDescent="0.55000000000000004">
      <c r="A5"/>
      <c r="B5"/>
      <c r="C5"/>
      <c r="E5"/>
      <c r="F5"/>
      <c r="G5"/>
      <c r="H5"/>
      <c r="I5"/>
      <c r="J5"/>
      <c r="K5"/>
      <c r="L5"/>
      <c r="M5"/>
      <c r="N5"/>
    </row>
    <row r="6" spans="1:14" x14ac:dyDescent="0.55000000000000004">
      <c r="A6" s="61" t="s">
        <v>419</v>
      </c>
      <c r="B6" s="62" t="s">
        <v>422</v>
      </c>
      <c r="C6" s="62" t="s">
        <v>421</v>
      </c>
      <c r="D6" s="64" t="s">
        <v>425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63" t="s">
        <v>420</v>
      </c>
      <c r="B7" s="62"/>
      <c r="C7" s="62"/>
      <c r="D7" s="64"/>
      <c r="E7"/>
      <c r="F7"/>
      <c r="G7"/>
      <c r="H7"/>
      <c r="I7"/>
      <c r="J7"/>
      <c r="K7"/>
      <c r="L7"/>
      <c r="M7"/>
      <c r="N7"/>
    </row>
    <row r="8" spans="1:14" x14ac:dyDescent="0.55000000000000004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x14ac:dyDescent="0.5500000000000000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3" x14ac:dyDescent="0.55000000000000004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x14ac:dyDescent="0.55000000000000004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55000000000000004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x14ac:dyDescent="0.55000000000000004">
      <c r="A20"/>
      <c r="B20"/>
      <c r="C20"/>
      <c r="D20"/>
      <c r="E20"/>
    </row>
    <row r="21" spans="1:13" x14ac:dyDescent="0.55000000000000004">
      <c r="A21"/>
      <c r="B21"/>
      <c r="C21"/>
      <c r="D21"/>
      <c r="E21"/>
    </row>
    <row r="22" spans="1:13" x14ac:dyDescent="0.55000000000000004">
      <c r="A22"/>
      <c r="B22"/>
      <c r="C22"/>
      <c r="D22"/>
      <c r="E22"/>
    </row>
    <row r="23" spans="1:13" x14ac:dyDescent="0.55000000000000004">
      <c r="A23"/>
      <c r="B23"/>
      <c r="C23"/>
      <c r="D23"/>
      <c r="E23"/>
    </row>
    <row r="24" spans="1:13" x14ac:dyDescent="0.55000000000000004">
      <c r="A24"/>
      <c r="B24"/>
      <c r="C24"/>
      <c r="D24"/>
      <c r="E24"/>
    </row>
    <row r="25" spans="1:13" x14ac:dyDescent="0.55000000000000004">
      <c r="A25"/>
      <c r="B25"/>
      <c r="C25"/>
      <c r="D25"/>
      <c r="E25"/>
    </row>
    <row r="26" spans="1:13" x14ac:dyDescent="0.55000000000000004">
      <c r="A26"/>
      <c r="B26"/>
      <c r="C26"/>
      <c r="D26"/>
      <c r="E26"/>
    </row>
    <row r="27" spans="1:13" x14ac:dyDescent="0.55000000000000004">
      <c r="A27"/>
      <c r="B27"/>
      <c r="C27"/>
      <c r="D27"/>
      <c r="E27"/>
    </row>
    <row r="28" spans="1:13" x14ac:dyDescent="0.55000000000000004">
      <c r="A28"/>
      <c r="B28"/>
      <c r="C28"/>
      <c r="D28"/>
      <c r="E28"/>
    </row>
    <row r="29" spans="1:13" x14ac:dyDescent="0.55000000000000004">
      <c r="A29"/>
      <c r="B29"/>
      <c r="C29"/>
      <c r="D29"/>
      <c r="E29"/>
    </row>
    <row r="30" spans="1:13" x14ac:dyDescent="0.55000000000000004">
      <c r="A30"/>
      <c r="B30"/>
      <c r="C30"/>
      <c r="D30"/>
      <c r="E30"/>
    </row>
    <row r="31" spans="1:13" x14ac:dyDescent="0.55000000000000004">
      <c r="A31"/>
      <c r="B31"/>
      <c r="C31"/>
      <c r="D31"/>
      <c r="E31"/>
    </row>
    <row r="32" spans="1:13" x14ac:dyDescent="0.55000000000000004">
      <c r="A32"/>
      <c r="B32"/>
      <c r="C32"/>
      <c r="D32"/>
      <c r="E32"/>
    </row>
    <row r="33" spans="1:5" x14ac:dyDescent="0.55000000000000004">
      <c r="A33"/>
      <c r="B33"/>
      <c r="C33"/>
      <c r="D33"/>
      <c r="E33"/>
    </row>
    <row r="34" spans="1:5" x14ac:dyDescent="0.55000000000000004">
      <c r="A34"/>
      <c r="B34"/>
      <c r="C34"/>
      <c r="D34"/>
      <c r="E34"/>
    </row>
    <row r="35" spans="1:5" x14ac:dyDescent="0.55000000000000004">
      <c r="A35"/>
      <c r="B35"/>
      <c r="C35"/>
      <c r="D35"/>
      <c r="E35"/>
    </row>
    <row r="36" spans="1:5" x14ac:dyDescent="0.55000000000000004">
      <c r="A36"/>
      <c r="B36"/>
      <c r="C36"/>
      <c r="D36"/>
      <c r="E36"/>
    </row>
    <row r="37" spans="1:5" x14ac:dyDescent="0.55000000000000004">
      <c r="A37"/>
      <c r="B37"/>
      <c r="C37"/>
      <c r="D37"/>
      <c r="E37"/>
    </row>
    <row r="38" spans="1:5" x14ac:dyDescent="0.55000000000000004">
      <c r="A38"/>
      <c r="B38"/>
      <c r="C38"/>
      <c r="D38"/>
      <c r="E38"/>
    </row>
    <row r="39" spans="1:5" x14ac:dyDescent="0.55000000000000004">
      <c r="A39"/>
      <c r="B39"/>
      <c r="C39"/>
      <c r="D39"/>
      <c r="E39"/>
    </row>
    <row r="40" spans="1:5" x14ac:dyDescent="0.55000000000000004">
      <c r="A40"/>
      <c r="B40"/>
      <c r="C40"/>
      <c r="D40"/>
      <c r="E40"/>
    </row>
    <row r="41" spans="1:5" x14ac:dyDescent="0.55000000000000004">
      <c r="A41"/>
      <c r="B41"/>
      <c r="C41"/>
      <c r="D41"/>
      <c r="E41"/>
    </row>
    <row r="42" spans="1:5" x14ac:dyDescent="0.55000000000000004">
      <c r="A42"/>
      <c r="B42"/>
      <c r="C42"/>
      <c r="D42"/>
      <c r="E42"/>
    </row>
    <row r="43" spans="1:5" x14ac:dyDescent="0.55000000000000004">
      <c r="A43"/>
      <c r="B43"/>
      <c r="C43"/>
      <c r="D43"/>
      <c r="E43"/>
    </row>
    <row r="44" spans="1:5" x14ac:dyDescent="0.55000000000000004">
      <c r="A44"/>
      <c r="B44"/>
      <c r="C44"/>
      <c r="D44"/>
      <c r="E44"/>
    </row>
    <row r="45" spans="1:5" x14ac:dyDescent="0.55000000000000004">
      <c r="A45"/>
      <c r="B45"/>
      <c r="C45"/>
      <c r="D45"/>
      <c r="E45"/>
    </row>
    <row r="46" spans="1:5" x14ac:dyDescent="0.55000000000000004">
      <c r="A46"/>
      <c r="B46"/>
      <c r="C46"/>
      <c r="D46"/>
      <c r="E46"/>
    </row>
    <row r="47" spans="1:5" x14ac:dyDescent="0.55000000000000004">
      <c r="A47"/>
      <c r="B47"/>
      <c r="C47"/>
      <c r="D47"/>
      <c r="E47"/>
    </row>
    <row r="48" spans="1:5" x14ac:dyDescent="0.55000000000000004">
      <c r="A48"/>
      <c r="B48"/>
      <c r="C48"/>
      <c r="D48"/>
      <c r="E48"/>
    </row>
    <row r="49" spans="1:4" x14ac:dyDescent="0.55000000000000004">
      <c r="A49"/>
      <c r="B49"/>
      <c r="C49"/>
      <c r="D49"/>
    </row>
    <row r="50" spans="1:4" x14ac:dyDescent="0.55000000000000004">
      <c r="A50"/>
      <c r="B50"/>
      <c r="C50"/>
      <c r="D50"/>
    </row>
    <row r="51" spans="1:4" x14ac:dyDescent="0.55000000000000004">
      <c r="A51"/>
      <c r="B51"/>
      <c r="C51"/>
      <c r="D51"/>
    </row>
    <row r="52" spans="1:4" x14ac:dyDescent="0.55000000000000004">
      <c r="A52"/>
      <c r="B52"/>
      <c r="C52"/>
      <c r="D52"/>
    </row>
    <row r="53" spans="1:4" x14ac:dyDescent="0.55000000000000004">
      <c r="A53"/>
      <c r="B53"/>
      <c r="C53"/>
      <c r="D53"/>
    </row>
    <row r="54" spans="1:4" x14ac:dyDescent="0.55000000000000004">
      <c r="A54"/>
      <c r="B54"/>
      <c r="C54"/>
      <c r="D54"/>
    </row>
    <row r="55" spans="1:4" x14ac:dyDescent="0.55000000000000004">
      <c r="A55"/>
      <c r="B55"/>
      <c r="C55"/>
      <c r="D55"/>
    </row>
    <row r="56" spans="1:4" x14ac:dyDescent="0.55000000000000004">
      <c r="A56"/>
      <c r="B56"/>
      <c r="C56"/>
      <c r="D56"/>
    </row>
    <row r="57" spans="1:4" x14ac:dyDescent="0.55000000000000004">
      <c r="A57"/>
      <c r="B57"/>
      <c r="C57"/>
      <c r="D57"/>
    </row>
    <row r="58" spans="1:4" x14ac:dyDescent="0.55000000000000004">
      <c r="A58"/>
      <c r="B58"/>
      <c r="C58"/>
      <c r="D58"/>
    </row>
    <row r="59" spans="1:4" x14ac:dyDescent="0.55000000000000004">
      <c r="A59"/>
      <c r="B59"/>
      <c r="C59"/>
      <c r="D59"/>
    </row>
    <row r="60" spans="1:4" x14ac:dyDescent="0.55000000000000004">
      <c r="A60"/>
      <c r="B60"/>
      <c r="C60"/>
    </row>
    <row r="61" spans="1:4" x14ac:dyDescent="0.55000000000000004">
      <c r="A61"/>
      <c r="B61"/>
      <c r="C61"/>
    </row>
    <row r="62" spans="1:4" x14ac:dyDescent="0.55000000000000004">
      <c r="A62"/>
      <c r="B62"/>
      <c r="C62"/>
    </row>
    <row r="63" spans="1:4" x14ac:dyDescent="0.55000000000000004">
      <c r="A63"/>
      <c r="B63"/>
      <c r="C63"/>
    </row>
    <row r="64" spans="1:4" x14ac:dyDescent="0.55000000000000004">
      <c r="A64"/>
      <c r="B64"/>
      <c r="C64"/>
    </row>
    <row r="65" spans="1:3" x14ac:dyDescent="0.55000000000000004">
      <c r="A65"/>
      <c r="B65"/>
      <c r="C65"/>
    </row>
    <row r="66" spans="1:3" x14ac:dyDescent="0.55000000000000004">
      <c r="A66"/>
      <c r="B66"/>
      <c r="C66"/>
    </row>
    <row r="67" spans="1:3" x14ac:dyDescent="0.55000000000000004">
      <c r="A67"/>
      <c r="B67"/>
      <c r="C67"/>
    </row>
    <row r="68" spans="1:3" x14ac:dyDescent="0.55000000000000004">
      <c r="A68"/>
      <c r="B68"/>
      <c r="C68"/>
    </row>
    <row r="69" spans="1:3" x14ac:dyDescent="0.55000000000000004">
      <c r="A69"/>
      <c r="B69"/>
      <c r="C69"/>
    </row>
    <row r="70" spans="1:3" x14ac:dyDescent="0.55000000000000004">
      <c r="A70"/>
      <c r="B70"/>
      <c r="C70"/>
    </row>
    <row r="71" spans="1:3" x14ac:dyDescent="0.55000000000000004">
      <c r="A71"/>
      <c r="B71"/>
      <c r="C71"/>
    </row>
    <row r="72" spans="1:3" x14ac:dyDescent="0.55000000000000004">
      <c r="A72"/>
      <c r="B72"/>
      <c r="C72"/>
    </row>
    <row r="73" spans="1:3" x14ac:dyDescent="0.55000000000000004">
      <c r="A73"/>
      <c r="B73"/>
      <c r="C73"/>
    </row>
    <row r="74" spans="1:3" x14ac:dyDescent="0.55000000000000004">
      <c r="A74"/>
      <c r="B74"/>
      <c r="C74"/>
    </row>
    <row r="75" spans="1:3" x14ac:dyDescent="0.55000000000000004">
      <c r="A75"/>
      <c r="B75"/>
      <c r="C75"/>
    </row>
    <row r="76" spans="1:3" x14ac:dyDescent="0.55000000000000004">
      <c r="A76"/>
      <c r="B76"/>
      <c r="C76"/>
    </row>
    <row r="77" spans="1:3" x14ac:dyDescent="0.55000000000000004">
      <c r="A77"/>
      <c r="B77"/>
      <c r="C77"/>
    </row>
    <row r="78" spans="1:3" x14ac:dyDescent="0.55000000000000004">
      <c r="A78"/>
      <c r="B78"/>
      <c r="C78"/>
    </row>
    <row r="79" spans="1:3" x14ac:dyDescent="0.55000000000000004">
      <c r="A79"/>
      <c r="B79"/>
      <c r="C79"/>
    </row>
    <row r="80" spans="1:3" x14ac:dyDescent="0.55000000000000004">
      <c r="A80"/>
      <c r="B80"/>
      <c r="C80"/>
    </row>
    <row r="81" spans="1:3" x14ac:dyDescent="0.55000000000000004">
      <c r="A81"/>
      <c r="B81"/>
      <c r="C81"/>
    </row>
    <row r="82" spans="1:3" x14ac:dyDescent="0.55000000000000004">
      <c r="A82"/>
      <c r="B82"/>
      <c r="C82"/>
    </row>
    <row r="83" spans="1:3" x14ac:dyDescent="0.55000000000000004">
      <c r="A83"/>
      <c r="B83"/>
      <c r="C83"/>
    </row>
    <row r="84" spans="1:3" x14ac:dyDescent="0.55000000000000004">
      <c r="A84"/>
      <c r="B84"/>
      <c r="C84"/>
    </row>
    <row r="85" spans="1:3" x14ac:dyDescent="0.55000000000000004">
      <c r="A85"/>
      <c r="B85"/>
      <c r="C85"/>
    </row>
    <row r="86" spans="1:3" x14ac:dyDescent="0.55000000000000004">
      <c r="A86"/>
      <c r="B86"/>
      <c r="C86"/>
    </row>
    <row r="87" spans="1:3" x14ac:dyDescent="0.55000000000000004">
      <c r="A87"/>
      <c r="B87"/>
      <c r="C87"/>
    </row>
    <row r="88" spans="1:3" x14ac:dyDescent="0.55000000000000004">
      <c r="A88"/>
      <c r="B88"/>
      <c r="C88"/>
    </row>
    <row r="89" spans="1:3" x14ac:dyDescent="0.55000000000000004">
      <c r="A89"/>
      <c r="B89"/>
      <c r="C89"/>
    </row>
    <row r="90" spans="1:3" x14ac:dyDescent="0.55000000000000004">
      <c r="A90"/>
      <c r="B90"/>
      <c r="C90"/>
    </row>
    <row r="91" spans="1:3" x14ac:dyDescent="0.55000000000000004">
      <c r="A91"/>
      <c r="B91"/>
      <c r="C91"/>
    </row>
    <row r="92" spans="1:3" x14ac:dyDescent="0.55000000000000004">
      <c r="A92"/>
      <c r="B92"/>
      <c r="C92"/>
    </row>
    <row r="93" spans="1:3" x14ac:dyDescent="0.55000000000000004">
      <c r="A93"/>
      <c r="B93"/>
      <c r="C93"/>
    </row>
    <row r="94" spans="1:3" x14ac:dyDescent="0.55000000000000004">
      <c r="A94"/>
      <c r="B94"/>
      <c r="C94"/>
    </row>
    <row r="95" spans="1:3" x14ac:dyDescent="0.55000000000000004">
      <c r="A95"/>
      <c r="B95"/>
      <c r="C95"/>
    </row>
    <row r="96" spans="1:3" x14ac:dyDescent="0.55000000000000004">
      <c r="A96"/>
      <c r="B96"/>
      <c r="C96"/>
    </row>
    <row r="97" spans="1:3" x14ac:dyDescent="0.55000000000000004">
      <c r="A97"/>
      <c r="B97"/>
      <c r="C97"/>
    </row>
    <row r="98" spans="1:3" x14ac:dyDescent="0.55000000000000004">
      <c r="A98"/>
      <c r="B98"/>
      <c r="C98"/>
    </row>
    <row r="99" spans="1:3" x14ac:dyDescent="0.55000000000000004">
      <c r="A99"/>
      <c r="B99"/>
      <c r="C99"/>
    </row>
    <row r="100" spans="1:3" x14ac:dyDescent="0.55000000000000004">
      <c r="A100"/>
      <c r="B100"/>
      <c r="C100"/>
    </row>
    <row r="101" spans="1:3" x14ac:dyDescent="0.55000000000000004">
      <c r="A101"/>
      <c r="B101"/>
      <c r="C101"/>
    </row>
    <row r="102" spans="1:3" x14ac:dyDescent="0.55000000000000004">
      <c r="A102"/>
      <c r="B102"/>
      <c r="C102"/>
    </row>
    <row r="103" spans="1:3" x14ac:dyDescent="0.55000000000000004">
      <c r="A103"/>
      <c r="B103"/>
      <c r="C103"/>
    </row>
    <row r="104" spans="1:3" x14ac:dyDescent="0.55000000000000004">
      <c r="A104"/>
      <c r="B104"/>
      <c r="C104"/>
    </row>
    <row r="105" spans="1:3" x14ac:dyDescent="0.55000000000000004">
      <c r="A105"/>
      <c r="B105"/>
      <c r="C105"/>
    </row>
    <row r="106" spans="1:3" x14ac:dyDescent="0.55000000000000004">
      <c r="A106"/>
      <c r="B106"/>
      <c r="C106"/>
    </row>
    <row r="107" spans="1:3" x14ac:dyDescent="0.55000000000000004">
      <c r="A107"/>
      <c r="B107"/>
      <c r="C107"/>
    </row>
    <row r="108" spans="1:3" x14ac:dyDescent="0.55000000000000004">
      <c r="A108"/>
      <c r="B108"/>
      <c r="C108"/>
    </row>
    <row r="109" spans="1:3" x14ac:dyDescent="0.55000000000000004">
      <c r="A109"/>
      <c r="B109"/>
      <c r="C109"/>
    </row>
    <row r="110" spans="1:3" x14ac:dyDescent="0.55000000000000004">
      <c r="A110"/>
      <c r="B110"/>
      <c r="C110"/>
    </row>
    <row r="111" spans="1:3" x14ac:dyDescent="0.55000000000000004">
      <c r="A111"/>
      <c r="B111"/>
      <c r="C111"/>
    </row>
    <row r="112" spans="1:3" x14ac:dyDescent="0.55000000000000004">
      <c r="A112"/>
      <c r="B112"/>
      <c r="C112"/>
    </row>
    <row r="113" spans="1:3" x14ac:dyDescent="0.55000000000000004">
      <c r="A113"/>
      <c r="B113"/>
      <c r="C113"/>
    </row>
    <row r="114" spans="1:3" x14ac:dyDescent="0.55000000000000004">
      <c r="A114"/>
      <c r="B114"/>
      <c r="C114"/>
    </row>
    <row r="115" spans="1:3" x14ac:dyDescent="0.55000000000000004">
      <c r="A115"/>
      <c r="B115"/>
      <c r="C115"/>
    </row>
    <row r="116" spans="1:3" x14ac:dyDescent="0.55000000000000004">
      <c r="A116"/>
      <c r="B116"/>
      <c r="C116"/>
    </row>
    <row r="117" spans="1:3" x14ac:dyDescent="0.55000000000000004">
      <c r="A117"/>
      <c r="B117"/>
      <c r="C117"/>
    </row>
    <row r="118" spans="1:3" x14ac:dyDescent="0.55000000000000004">
      <c r="A118"/>
      <c r="B118"/>
      <c r="C118"/>
    </row>
    <row r="119" spans="1:3" x14ac:dyDescent="0.55000000000000004">
      <c r="A119"/>
      <c r="B119"/>
      <c r="C119"/>
    </row>
    <row r="120" spans="1:3" x14ac:dyDescent="0.55000000000000004">
      <c r="A120"/>
      <c r="B120"/>
      <c r="C120"/>
    </row>
    <row r="121" spans="1:3" x14ac:dyDescent="0.55000000000000004">
      <c r="A121"/>
      <c r="B121"/>
      <c r="C121"/>
    </row>
    <row r="122" spans="1:3" x14ac:dyDescent="0.55000000000000004">
      <c r="A122"/>
      <c r="B122"/>
      <c r="C122"/>
    </row>
    <row r="123" spans="1:3" x14ac:dyDescent="0.55000000000000004">
      <c r="A123"/>
      <c r="B123"/>
      <c r="C123"/>
    </row>
    <row r="124" spans="1:3" x14ac:dyDescent="0.55000000000000004">
      <c r="A124"/>
      <c r="B124"/>
      <c r="C124"/>
    </row>
    <row r="125" spans="1:3" x14ac:dyDescent="0.55000000000000004">
      <c r="A125"/>
      <c r="B125"/>
      <c r="C125"/>
    </row>
    <row r="126" spans="1:3" x14ac:dyDescent="0.55000000000000004">
      <c r="A126"/>
      <c r="B126"/>
      <c r="C126"/>
    </row>
    <row r="127" spans="1:3" x14ac:dyDescent="0.55000000000000004">
      <c r="A127"/>
      <c r="B127"/>
      <c r="C127"/>
    </row>
    <row r="128" spans="1:3" x14ac:dyDescent="0.55000000000000004">
      <c r="A128"/>
      <c r="B128"/>
      <c r="C128"/>
    </row>
    <row r="129" spans="1:3" x14ac:dyDescent="0.55000000000000004">
      <c r="A129"/>
      <c r="B129"/>
      <c r="C129"/>
    </row>
    <row r="130" spans="1:3" x14ac:dyDescent="0.55000000000000004">
      <c r="A130"/>
      <c r="B130"/>
      <c r="C130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8" r:id="rId5" name="GoToSettingsBtn">
          <controlPr defaultSize="0" autoLine="0" r:id="rId6">
            <anchor moveWithCells="1">
              <from>
                <xdr:col>8</xdr:col>
                <xdr:colOff>228600</xdr:colOff>
                <xdr:row>0</xdr:row>
                <xdr:rowOff>0</xdr:rowOff>
              </from>
              <to>
                <xdr:col>11</xdr:col>
                <xdr:colOff>323850</xdr:colOff>
                <xdr:row>1</xdr:row>
                <xdr:rowOff>127000</xdr:rowOff>
              </to>
            </anchor>
          </controlPr>
        </control>
      </mc:Choice>
      <mc:Fallback>
        <control shapeId="7178" r:id="rId5" name="GoToSettingsBtn"/>
      </mc:Fallback>
    </mc:AlternateContent>
    <mc:AlternateContent xmlns:mc="http://schemas.openxmlformats.org/markup-compatibility/2006">
      <mc:Choice Requires="x14">
        <control shapeId="7177" r:id="rId7" name="ResetFilterBtn">
          <controlPr defaultSize="0" autoLine="0" r:id="rId8">
            <anchor moveWithCells="1">
              <from>
                <xdr:col>9</xdr:col>
                <xdr:colOff>488950</xdr:colOff>
                <xdr:row>3</xdr:row>
                <xdr:rowOff>19050</xdr:rowOff>
              </from>
              <to>
                <xdr:col>12</xdr:col>
                <xdr:colOff>412750</xdr:colOff>
                <xdr:row>4</xdr:row>
                <xdr:rowOff>146050</xdr:rowOff>
              </to>
            </anchor>
          </controlPr>
        </control>
      </mc:Choice>
      <mc:Fallback>
        <control shapeId="7177" r:id="rId7" name="ResetFilterBtn"/>
      </mc:Fallback>
    </mc:AlternateContent>
    <mc:AlternateContent xmlns:mc="http://schemas.openxmlformats.org/markup-compatibility/2006">
      <mc:Choice Requires="x14">
        <control shapeId="7176" r:id="rId9" name="SortByTimesBtn">
          <controlPr defaultSize="0" autoLine="0" r:id="rId10">
            <anchor moveWithCells="1">
              <from>
                <xdr:col>7</xdr:col>
                <xdr:colOff>228600</xdr:colOff>
                <xdr:row>3</xdr:row>
                <xdr:rowOff>19050</xdr:rowOff>
              </from>
              <to>
                <xdr:col>9</xdr:col>
                <xdr:colOff>482600</xdr:colOff>
                <xdr:row>4</xdr:row>
                <xdr:rowOff>146050</xdr:rowOff>
              </to>
            </anchor>
          </controlPr>
        </control>
      </mc:Choice>
      <mc:Fallback>
        <control shapeId="7176" r:id="rId9" name="SortByTimesBtn"/>
      </mc:Fallback>
    </mc:AlternateContent>
    <mc:AlternateContent xmlns:mc="http://schemas.openxmlformats.org/markup-compatibility/2006">
      <mc:Choice Requires="x14">
        <control shapeId="7175" r:id="rId11" name="SortByRankBtn">
          <controlPr defaultSize="0" autoLine="0" r:id="rId12">
            <anchor moveWithCells="1">
              <from>
                <xdr:col>4</xdr:col>
                <xdr:colOff>1308100</xdr:colOff>
                <xdr:row>3</xdr:row>
                <xdr:rowOff>19050</xdr:rowOff>
              </from>
              <to>
                <xdr:col>7</xdr:col>
                <xdr:colOff>228600</xdr:colOff>
                <xdr:row>4</xdr:row>
                <xdr:rowOff>146050</xdr:rowOff>
              </to>
            </anchor>
          </controlPr>
        </control>
      </mc:Choice>
      <mc:Fallback>
        <control shapeId="7175" r:id="rId11" name="SortByRankBtn"/>
      </mc:Fallback>
    </mc:AlternateContent>
    <mc:AlternateContent xmlns:mc="http://schemas.openxmlformats.org/markup-compatibility/2006">
      <mc:Choice Requires="x14">
        <control shapeId="7174" r:id="rId13" name="SortByPointsBtn">
          <controlPr defaultSize="0" autoLine="0" autoPict="0" altText="" r:id="rId14">
            <anchor moveWithCells="1">
              <from>
                <xdr:col>4</xdr:col>
                <xdr:colOff>38100</xdr:colOff>
                <xdr:row>3</xdr:row>
                <xdr:rowOff>19050</xdr:rowOff>
              </from>
              <to>
                <xdr:col>4</xdr:col>
                <xdr:colOff>1308100</xdr:colOff>
                <xdr:row>4</xdr:row>
                <xdr:rowOff>146050</xdr:rowOff>
              </to>
            </anchor>
          </controlPr>
        </control>
      </mc:Choice>
      <mc:Fallback>
        <control shapeId="7174" r:id="rId13" name="SortByPointsBtn"/>
      </mc:Fallback>
    </mc:AlternateContent>
    <mc:AlternateContent xmlns:mc="http://schemas.openxmlformats.org/markup-compatibility/2006">
      <mc:Choice Requires="x14">
        <control shapeId="7170" r:id="rId15" name="GoToRegistDataBtn">
          <controlPr defaultSize="0" autoLine="0" r:id="rId16">
            <anchor moveWithCells="1">
              <from>
                <xdr:col>4</xdr:col>
                <xdr:colOff>38100</xdr:colOff>
                <xdr:row>0</xdr:row>
                <xdr:rowOff>0</xdr:rowOff>
              </from>
              <to>
                <xdr:col>5</xdr:col>
                <xdr:colOff>63500</xdr:colOff>
                <xdr:row>1</xdr:row>
                <xdr:rowOff>127000</xdr:rowOff>
              </to>
            </anchor>
          </controlPr>
        </control>
      </mc:Choice>
      <mc:Fallback>
        <control shapeId="7170" r:id="rId15" name="GoToRegistDataBtn"/>
      </mc:Fallback>
    </mc:AlternateContent>
    <mc:AlternateContent xmlns:mc="http://schemas.openxmlformats.org/markup-compatibility/2006">
      <mc:Choice Requires="x14">
        <control shapeId="7172" r:id="rId17" name="GoToDataBtn">
          <controlPr defaultSize="0" autoLine="0" r:id="rId18">
            <anchor moveWithCells="1">
              <from>
                <xdr:col>5</xdr:col>
                <xdr:colOff>63500</xdr:colOff>
                <xdr:row>0</xdr:row>
                <xdr:rowOff>0</xdr:rowOff>
              </from>
              <to>
                <xdr:col>8</xdr:col>
                <xdr:colOff>228600</xdr:colOff>
                <xdr:row>1</xdr:row>
                <xdr:rowOff>127000</xdr:rowOff>
              </to>
            </anchor>
          </controlPr>
        </control>
      </mc:Choice>
      <mc:Fallback>
        <control shapeId="7172" r:id="rId17" name="GoToData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40"/>
  <sheetViews>
    <sheetView zoomScale="80" zoomScaleNormal="80" workbookViewId="0">
      <pane ySplit="1" topLeftCell="A2" activePane="bottomLeft" state="frozen"/>
      <selection activeCell="A28" sqref="A28"/>
      <selection pane="bottomLeft"/>
    </sheetView>
  </sheetViews>
  <sheetFormatPr defaultRowHeight="18" x14ac:dyDescent="0.55000000000000004"/>
  <cols>
    <col min="1" max="1" width="13.25" style="38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36" customFormat="1" ht="32.5" customHeight="1" x14ac:dyDescent="0.55000000000000004">
      <c r="A1" s="37" t="s">
        <v>408</v>
      </c>
      <c r="B1" s="36" t="s">
        <v>409</v>
      </c>
      <c r="C1" s="36" t="s">
        <v>410</v>
      </c>
      <c r="D1" s="36" t="s">
        <v>411</v>
      </c>
      <c r="E1" s="36" t="s">
        <v>97</v>
      </c>
      <c r="F1" s="36" t="s">
        <v>226</v>
      </c>
      <c r="G1" s="36" t="s">
        <v>227</v>
      </c>
      <c r="H1" s="36" t="s">
        <v>412</v>
      </c>
      <c r="I1" s="36" t="s">
        <v>417</v>
      </c>
      <c r="J1" s="36" t="s">
        <v>418</v>
      </c>
      <c r="K1" s="36" t="s">
        <v>413</v>
      </c>
    </row>
    <row r="2" spans="1:11" x14ac:dyDescent="0.55000000000000004">
      <c r="B2" s="42"/>
    </row>
    <row r="3" spans="1:11" x14ac:dyDescent="0.55000000000000004">
      <c r="B3" s="60"/>
    </row>
    <row r="4" spans="1:11" x14ac:dyDescent="0.55000000000000004">
      <c r="B4" s="60"/>
    </row>
    <row r="5" spans="1:11" x14ac:dyDescent="0.55000000000000004">
      <c r="B5" s="60"/>
    </row>
    <row r="6" spans="1:11" x14ac:dyDescent="0.55000000000000004">
      <c r="B6" s="60"/>
    </row>
    <row r="7" spans="1:11" x14ac:dyDescent="0.55000000000000004">
      <c r="B7" s="60"/>
    </row>
    <row r="8" spans="1:11" x14ac:dyDescent="0.55000000000000004">
      <c r="B8" s="60"/>
    </row>
    <row r="9" spans="1:11" x14ac:dyDescent="0.55000000000000004">
      <c r="B9" s="60"/>
    </row>
    <row r="10" spans="1:11" x14ac:dyDescent="0.55000000000000004">
      <c r="B10" s="42"/>
    </row>
    <row r="11" spans="1:11" x14ac:dyDescent="0.55000000000000004">
      <c r="B11" s="42"/>
    </row>
    <row r="12" spans="1:11" x14ac:dyDescent="0.55000000000000004">
      <c r="B12" s="42"/>
    </row>
    <row r="13" spans="1:11" x14ac:dyDescent="0.55000000000000004">
      <c r="B13" s="42"/>
    </row>
    <row r="14" spans="1:11" x14ac:dyDescent="0.55000000000000004">
      <c r="B14" s="42"/>
    </row>
    <row r="15" spans="1:11" x14ac:dyDescent="0.55000000000000004">
      <c r="B15" s="42"/>
    </row>
    <row r="16" spans="1:11" x14ac:dyDescent="0.55000000000000004">
      <c r="B16" s="42"/>
    </row>
    <row r="17" spans="2:2" x14ac:dyDescent="0.55000000000000004">
      <c r="B17" s="42"/>
    </row>
    <row r="18" spans="2:2" x14ac:dyDescent="0.55000000000000004">
      <c r="B18" s="42"/>
    </row>
    <row r="19" spans="2:2" x14ac:dyDescent="0.55000000000000004">
      <c r="B19" s="42"/>
    </row>
    <row r="20" spans="2:2" x14ac:dyDescent="0.55000000000000004">
      <c r="B20" s="42"/>
    </row>
    <row r="21" spans="2:2" x14ac:dyDescent="0.55000000000000004">
      <c r="B21" s="42"/>
    </row>
    <row r="22" spans="2:2" x14ac:dyDescent="0.55000000000000004">
      <c r="B22" s="42"/>
    </row>
    <row r="23" spans="2:2" x14ac:dyDescent="0.55000000000000004">
      <c r="B23" s="42"/>
    </row>
    <row r="24" spans="2:2" x14ac:dyDescent="0.55000000000000004">
      <c r="B24" s="42"/>
    </row>
    <row r="25" spans="2:2" x14ac:dyDescent="0.55000000000000004">
      <c r="B25" s="42"/>
    </row>
    <row r="26" spans="2:2" x14ac:dyDescent="0.55000000000000004">
      <c r="B26" s="42"/>
    </row>
    <row r="27" spans="2:2" x14ac:dyDescent="0.55000000000000004">
      <c r="B27" s="42"/>
    </row>
    <row r="28" spans="2:2" x14ac:dyDescent="0.55000000000000004">
      <c r="B28" s="42"/>
    </row>
    <row r="29" spans="2:2" x14ac:dyDescent="0.55000000000000004">
      <c r="B29" s="42"/>
    </row>
    <row r="30" spans="2:2" x14ac:dyDescent="0.55000000000000004">
      <c r="B30" s="42"/>
    </row>
    <row r="31" spans="2:2" x14ac:dyDescent="0.55000000000000004">
      <c r="B31" s="42"/>
    </row>
    <row r="32" spans="2:2" x14ac:dyDescent="0.55000000000000004">
      <c r="B32" s="42"/>
    </row>
    <row r="33" spans="2:2" x14ac:dyDescent="0.55000000000000004">
      <c r="B33" s="42"/>
    </row>
    <row r="34" spans="2:2" x14ac:dyDescent="0.55000000000000004">
      <c r="B34" s="42"/>
    </row>
    <row r="35" spans="2:2" x14ac:dyDescent="0.55000000000000004">
      <c r="B35" s="42"/>
    </row>
    <row r="36" spans="2:2" x14ac:dyDescent="0.55000000000000004">
      <c r="B36" s="42"/>
    </row>
    <row r="37" spans="2:2" x14ac:dyDescent="0.55000000000000004">
      <c r="B37" s="42"/>
    </row>
    <row r="38" spans="2:2" x14ac:dyDescent="0.55000000000000004">
      <c r="B38" s="42"/>
    </row>
    <row r="39" spans="2:2" x14ac:dyDescent="0.55000000000000004">
      <c r="B39" s="42"/>
    </row>
    <row r="40" spans="2:2" x14ac:dyDescent="0.55000000000000004">
      <c r="B40" s="42"/>
    </row>
    <row r="41" spans="2:2" x14ac:dyDescent="0.55000000000000004">
      <c r="B41" s="42"/>
    </row>
    <row r="42" spans="2:2" x14ac:dyDescent="0.55000000000000004">
      <c r="B42" s="42"/>
    </row>
    <row r="43" spans="2:2" x14ac:dyDescent="0.55000000000000004">
      <c r="B43" s="42"/>
    </row>
    <row r="44" spans="2:2" x14ac:dyDescent="0.55000000000000004">
      <c r="B44" s="42"/>
    </row>
    <row r="45" spans="2:2" x14ac:dyDescent="0.55000000000000004">
      <c r="B45" s="42"/>
    </row>
    <row r="46" spans="2:2" x14ac:dyDescent="0.55000000000000004">
      <c r="B46" s="42"/>
    </row>
    <row r="47" spans="2:2" x14ac:dyDescent="0.55000000000000004">
      <c r="B47" s="42"/>
    </row>
    <row r="48" spans="2:2" x14ac:dyDescent="0.55000000000000004">
      <c r="B48" s="42"/>
    </row>
    <row r="49" spans="2:2" x14ac:dyDescent="0.55000000000000004">
      <c r="B49" s="42"/>
    </row>
    <row r="50" spans="2:2" x14ac:dyDescent="0.55000000000000004">
      <c r="B50" s="42"/>
    </row>
    <row r="51" spans="2:2" x14ac:dyDescent="0.55000000000000004">
      <c r="B51" s="42"/>
    </row>
    <row r="52" spans="2:2" x14ac:dyDescent="0.55000000000000004">
      <c r="B52" s="42"/>
    </row>
    <row r="53" spans="2:2" x14ac:dyDescent="0.55000000000000004">
      <c r="B53" s="42"/>
    </row>
    <row r="54" spans="2:2" x14ac:dyDescent="0.55000000000000004">
      <c r="B54" s="42"/>
    </row>
    <row r="55" spans="2:2" x14ac:dyDescent="0.55000000000000004">
      <c r="B55" s="42"/>
    </row>
    <row r="56" spans="2:2" x14ac:dyDescent="0.55000000000000004">
      <c r="B56" s="42"/>
    </row>
    <row r="57" spans="2:2" x14ac:dyDescent="0.55000000000000004">
      <c r="B57" s="42"/>
    </row>
    <row r="58" spans="2:2" x14ac:dyDescent="0.55000000000000004">
      <c r="B58" s="42"/>
    </row>
    <row r="59" spans="2:2" x14ac:dyDescent="0.55000000000000004">
      <c r="B59" s="42"/>
    </row>
    <row r="60" spans="2:2" x14ac:dyDescent="0.55000000000000004">
      <c r="B60" s="42"/>
    </row>
    <row r="61" spans="2:2" x14ac:dyDescent="0.55000000000000004">
      <c r="B61" s="42"/>
    </row>
    <row r="62" spans="2:2" x14ac:dyDescent="0.55000000000000004">
      <c r="B62" s="42"/>
    </row>
    <row r="63" spans="2:2" x14ac:dyDescent="0.55000000000000004">
      <c r="B63" s="42"/>
    </row>
    <row r="64" spans="2:2" x14ac:dyDescent="0.55000000000000004">
      <c r="B64" s="42"/>
    </row>
    <row r="65" spans="2:2" x14ac:dyDescent="0.55000000000000004">
      <c r="B65" s="42"/>
    </row>
    <row r="66" spans="2:2" x14ac:dyDescent="0.55000000000000004">
      <c r="B66" s="42"/>
    </row>
    <row r="67" spans="2:2" x14ac:dyDescent="0.55000000000000004">
      <c r="B67" s="42"/>
    </row>
    <row r="68" spans="2:2" x14ac:dyDescent="0.55000000000000004">
      <c r="B68" s="42"/>
    </row>
    <row r="69" spans="2:2" x14ac:dyDescent="0.55000000000000004">
      <c r="B69" s="42"/>
    </row>
    <row r="70" spans="2:2" x14ac:dyDescent="0.55000000000000004">
      <c r="B70" s="42"/>
    </row>
    <row r="71" spans="2:2" x14ac:dyDescent="0.55000000000000004">
      <c r="B71" s="42"/>
    </row>
    <row r="72" spans="2:2" x14ac:dyDescent="0.55000000000000004">
      <c r="B72" s="42"/>
    </row>
    <row r="73" spans="2:2" x14ac:dyDescent="0.55000000000000004">
      <c r="B73" s="42"/>
    </row>
    <row r="74" spans="2:2" x14ac:dyDescent="0.55000000000000004">
      <c r="B74" s="42"/>
    </row>
    <row r="75" spans="2:2" x14ac:dyDescent="0.55000000000000004">
      <c r="B75" s="42"/>
    </row>
    <row r="76" spans="2:2" x14ac:dyDescent="0.55000000000000004">
      <c r="B76" s="42"/>
    </row>
    <row r="77" spans="2:2" x14ac:dyDescent="0.55000000000000004">
      <c r="B77" s="42"/>
    </row>
    <row r="78" spans="2:2" x14ac:dyDescent="0.55000000000000004">
      <c r="B78" s="42"/>
    </row>
    <row r="79" spans="2:2" x14ac:dyDescent="0.55000000000000004">
      <c r="B79" s="42"/>
    </row>
    <row r="80" spans="2:2" x14ac:dyDescent="0.55000000000000004">
      <c r="B80" s="42"/>
    </row>
    <row r="81" spans="2:2" x14ac:dyDescent="0.55000000000000004">
      <c r="B81" s="42"/>
    </row>
    <row r="82" spans="2:2" x14ac:dyDescent="0.55000000000000004">
      <c r="B82" s="42"/>
    </row>
    <row r="83" spans="2:2" x14ac:dyDescent="0.55000000000000004">
      <c r="B83" s="42"/>
    </row>
    <row r="84" spans="2:2" x14ac:dyDescent="0.55000000000000004">
      <c r="B84" s="42"/>
    </row>
    <row r="85" spans="2:2" x14ac:dyDescent="0.55000000000000004">
      <c r="B85" s="42"/>
    </row>
    <row r="86" spans="2:2" x14ac:dyDescent="0.55000000000000004">
      <c r="B86" s="42"/>
    </row>
    <row r="87" spans="2:2" x14ac:dyDescent="0.55000000000000004">
      <c r="B87" s="42"/>
    </row>
    <row r="88" spans="2:2" x14ac:dyDescent="0.55000000000000004">
      <c r="B88" s="42"/>
    </row>
    <row r="89" spans="2:2" x14ac:dyDescent="0.55000000000000004">
      <c r="B89" s="42"/>
    </row>
    <row r="90" spans="2:2" x14ac:dyDescent="0.55000000000000004">
      <c r="B90" s="42"/>
    </row>
    <row r="91" spans="2:2" x14ac:dyDescent="0.55000000000000004">
      <c r="B91" s="42"/>
    </row>
    <row r="92" spans="2:2" x14ac:dyDescent="0.55000000000000004">
      <c r="B92" s="42"/>
    </row>
    <row r="93" spans="2:2" x14ac:dyDescent="0.55000000000000004">
      <c r="B93" s="42"/>
    </row>
    <row r="94" spans="2:2" x14ac:dyDescent="0.55000000000000004">
      <c r="B94" s="42"/>
    </row>
    <row r="95" spans="2:2" x14ac:dyDescent="0.55000000000000004">
      <c r="B95" s="42"/>
    </row>
    <row r="96" spans="2:2" x14ac:dyDescent="0.55000000000000004">
      <c r="B96" s="42"/>
    </row>
    <row r="97" spans="2:2" x14ac:dyDescent="0.55000000000000004">
      <c r="B97" s="42"/>
    </row>
    <row r="98" spans="2:2" x14ac:dyDescent="0.55000000000000004">
      <c r="B98" s="42"/>
    </row>
    <row r="99" spans="2:2" x14ac:dyDescent="0.55000000000000004">
      <c r="B99" s="42"/>
    </row>
    <row r="100" spans="2:2" x14ac:dyDescent="0.55000000000000004">
      <c r="B100" s="42"/>
    </row>
    <row r="101" spans="2:2" x14ac:dyDescent="0.55000000000000004">
      <c r="B101" s="42"/>
    </row>
    <row r="102" spans="2:2" x14ac:dyDescent="0.55000000000000004">
      <c r="B102" s="42"/>
    </row>
    <row r="103" spans="2:2" x14ac:dyDescent="0.55000000000000004">
      <c r="B103" s="42"/>
    </row>
    <row r="104" spans="2:2" x14ac:dyDescent="0.55000000000000004">
      <c r="B104" s="42"/>
    </row>
    <row r="105" spans="2:2" x14ac:dyDescent="0.55000000000000004">
      <c r="B105" s="42"/>
    </row>
    <row r="106" spans="2:2" x14ac:dyDescent="0.55000000000000004">
      <c r="B106" s="42"/>
    </row>
    <row r="107" spans="2:2" x14ac:dyDescent="0.55000000000000004">
      <c r="B107" s="42"/>
    </row>
    <row r="108" spans="2:2" x14ac:dyDescent="0.55000000000000004">
      <c r="B108" s="42"/>
    </row>
    <row r="109" spans="2:2" x14ac:dyDescent="0.55000000000000004">
      <c r="B109" s="42"/>
    </row>
    <row r="110" spans="2:2" x14ac:dyDescent="0.55000000000000004">
      <c r="B110" s="42"/>
    </row>
    <row r="111" spans="2:2" x14ac:dyDescent="0.55000000000000004">
      <c r="B111" s="42"/>
    </row>
    <row r="112" spans="2:2" x14ac:dyDescent="0.55000000000000004">
      <c r="B112" s="42"/>
    </row>
    <row r="113" spans="2:2" x14ac:dyDescent="0.55000000000000004">
      <c r="B113" s="42"/>
    </row>
    <row r="114" spans="2:2" x14ac:dyDescent="0.55000000000000004">
      <c r="B114" s="42"/>
    </row>
    <row r="115" spans="2:2" x14ac:dyDescent="0.55000000000000004">
      <c r="B115" s="42"/>
    </row>
    <row r="116" spans="2:2" x14ac:dyDescent="0.55000000000000004">
      <c r="B116" s="42"/>
    </row>
    <row r="117" spans="2:2" x14ac:dyDescent="0.55000000000000004">
      <c r="B117" s="42"/>
    </row>
    <row r="118" spans="2:2" x14ac:dyDescent="0.55000000000000004">
      <c r="B118" s="42"/>
    </row>
    <row r="119" spans="2:2" x14ac:dyDescent="0.55000000000000004">
      <c r="B119" s="42"/>
    </row>
    <row r="120" spans="2:2" x14ac:dyDescent="0.55000000000000004">
      <c r="B120" s="42"/>
    </row>
    <row r="121" spans="2:2" x14ac:dyDescent="0.55000000000000004">
      <c r="B121" s="42"/>
    </row>
    <row r="122" spans="2:2" x14ac:dyDescent="0.55000000000000004">
      <c r="B122" s="42"/>
    </row>
    <row r="123" spans="2:2" x14ac:dyDescent="0.55000000000000004">
      <c r="B123" s="42"/>
    </row>
    <row r="124" spans="2:2" x14ac:dyDescent="0.55000000000000004">
      <c r="B124" s="42"/>
    </row>
    <row r="125" spans="2:2" x14ac:dyDescent="0.55000000000000004">
      <c r="B125" s="42"/>
    </row>
    <row r="126" spans="2:2" x14ac:dyDescent="0.55000000000000004">
      <c r="B126" s="42"/>
    </row>
    <row r="127" spans="2:2" x14ac:dyDescent="0.55000000000000004">
      <c r="B127" s="42"/>
    </row>
    <row r="128" spans="2:2" x14ac:dyDescent="0.55000000000000004">
      <c r="B128" s="42"/>
    </row>
    <row r="129" spans="2:2" x14ac:dyDescent="0.55000000000000004">
      <c r="B129" s="42"/>
    </row>
    <row r="130" spans="2:2" x14ac:dyDescent="0.55000000000000004">
      <c r="B130" s="42"/>
    </row>
    <row r="131" spans="2:2" x14ac:dyDescent="0.55000000000000004">
      <c r="B131" s="42"/>
    </row>
    <row r="132" spans="2:2" x14ac:dyDescent="0.55000000000000004">
      <c r="B132" s="42"/>
    </row>
    <row r="133" spans="2:2" x14ac:dyDescent="0.55000000000000004">
      <c r="B133" s="42"/>
    </row>
    <row r="134" spans="2:2" x14ac:dyDescent="0.55000000000000004">
      <c r="B134" s="42"/>
    </row>
    <row r="135" spans="2:2" x14ac:dyDescent="0.55000000000000004">
      <c r="B135" s="42"/>
    </row>
    <row r="136" spans="2:2" x14ac:dyDescent="0.55000000000000004">
      <c r="B136" s="42"/>
    </row>
    <row r="137" spans="2:2" x14ac:dyDescent="0.55000000000000004">
      <c r="B137" s="42"/>
    </row>
    <row r="138" spans="2:2" x14ac:dyDescent="0.55000000000000004">
      <c r="B138" s="42"/>
    </row>
    <row r="139" spans="2:2" x14ac:dyDescent="0.55000000000000004">
      <c r="B139" s="42"/>
    </row>
    <row r="140" spans="2:2" x14ac:dyDescent="0.55000000000000004">
      <c r="B140" s="42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GoToRegistDataBtn">
          <controlPr defaultSize="0" autoLine="0" r:id="rId5">
            <anchor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4" name="GoToRegistDataBtn"/>
      </mc:Fallback>
    </mc:AlternateContent>
    <mc:AlternateContent xmlns:mc="http://schemas.openxmlformats.org/markup-compatibility/2006">
      <mc:Choice Requires="x14">
        <control shapeId="6146" r:id="rId6" name="ImportDataBtn">
          <controlPr defaultSize="0" autoLine="0" r:id="rId7">
            <anchor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6" name="Import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8" r:id="rId10" name="DeleteDataBtn">
          <controlPr defaultSize="0" autoLine="0" r:id="rId11">
            <anchor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10" name="DeleteDataBtn"/>
      </mc:Fallback>
    </mc:AlternateContent>
    <mc:AlternateContent xmlns:mc="http://schemas.openxmlformats.org/markup-compatibility/2006">
      <mc:Choice Requires="x14">
        <control shapeId="6149" r:id="rId12" name="GoToGraphBtn">
          <controlPr defaultSize="0" autoLine="0" r:id="rId13">
            <anchor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12" name="GoToGraph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showGridLines="0" workbookViewId="0">
      <selection sqref="A1:C1"/>
    </sheetView>
  </sheetViews>
  <sheetFormatPr defaultRowHeight="18" x14ac:dyDescent="0.55000000000000004"/>
  <cols>
    <col min="1" max="1" width="30.83203125" style="48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59" t="s">
        <v>391</v>
      </c>
      <c r="B1" s="59"/>
      <c r="C1" s="59"/>
    </row>
    <row r="2" spans="1:3" ht="6.5" customHeight="1" x14ac:dyDescent="0.55000000000000004"/>
    <row r="3" spans="1:3" ht="25" customHeight="1" x14ac:dyDescent="0.55000000000000004">
      <c r="A3" s="49" t="s">
        <v>384</v>
      </c>
      <c r="B3" s="50" t="str">
        <f>VLOOKUP(C3,Storage!C:D,2,FALSE)</f>
        <v>jp</v>
      </c>
      <c r="C3" s="35" t="s">
        <v>389</v>
      </c>
    </row>
    <row r="4" spans="1:3" ht="25" customHeight="1" x14ac:dyDescent="0.55000000000000004">
      <c r="A4" s="51" t="s">
        <v>428</v>
      </c>
      <c r="B4" s="52">
        <f>C4</f>
        <v>1</v>
      </c>
      <c r="C4" s="35">
        <v>1</v>
      </c>
    </row>
    <row r="5" spans="1:3" ht="25" customHeight="1" x14ac:dyDescent="0.55000000000000004">
      <c r="A5" s="53"/>
      <c r="B5" s="1"/>
    </row>
    <row r="6" spans="1:3" ht="25" customHeight="1" x14ac:dyDescent="0.55000000000000004">
      <c r="A6" s="53"/>
      <c r="B6" s="1"/>
    </row>
    <row r="7" spans="1:3" ht="25" customHeight="1" x14ac:dyDescent="0.55000000000000004">
      <c r="A7" s="53"/>
      <c r="B7" s="1"/>
    </row>
    <row r="8" spans="1:3" ht="25" customHeight="1" x14ac:dyDescent="0.55000000000000004">
      <c r="A8" s="53"/>
      <c r="B8" s="1"/>
    </row>
    <row r="9" spans="1:3" ht="25" customHeight="1" x14ac:dyDescent="0.55000000000000004">
      <c r="A9" s="53"/>
      <c r="B9" s="1"/>
    </row>
    <row r="10" spans="1:3" ht="25" customHeight="1" x14ac:dyDescent="0.55000000000000004">
      <c r="A10" s="53"/>
      <c r="B10" s="1"/>
    </row>
    <row r="11" spans="1:3" ht="25" customHeight="1" x14ac:dyDescent="0.55000000000000004">
      <c r="A11" s="53"/>
      <c r="B11" s="1"/>
    </row>
    <row r="12" spans="1:3" ht="25" customHeight="1" x14ac:dyDescent="0.55000000000000004">
      <c r="A12" s="53"/>
      <c r="B12" s="1"/>
    </row>
    <row r="13" spans="1:3" ht="25" customHeight="1" x14ac:dyDescent="0.55000000000000004">
      <c r="A13" s="53"/>
      <c r="B13" s="1"/>
    </row>
    <row r="14" spans="1:3" ht="25" customHeight="1" x14ac:dyDescent="0.55000000000000004">
      <c r="A14" s="53"/>
      <c r="B14" s="1"/>
    </row>
    <row r="15" spans="1:3" ht="25" customHeight="1" x14ac:dyDescent="0.55000000000000004">
      <c r="A15" s="53"/>
      <c r="B15" s="1"/>
    </row>
    <row r="16" spans="1:3" x14ac:dyDescent="0.55000000000000004">
      <c r="A16" s="53"/>
      <c r="B16" s="1"/>
    </row>
    <row r="17" spans="1:2" x14ac:dyDescent="0.55000000000000004">
      <c r="A17" s="53"/>
      <c r="B17" s="1"/>
    </row>
    <row r="18" spans="1:2" x14ac:dyDescent="0.55000000000000004">
      <c r="A18" s="53"/>
      <c r="B18" s="1"/>
    </row>
    <row r="19" spans="1:2" x14ac:dyDescent="0.55000000000000004">
      <c r="A19" s="53"/>
      <c r="B19" s="1"/>
    </row>
    <row r="20" spans="1:2" x14ac:dyDescent="0.55000000000000004">
      <c r="A20" s="53"/>
      <c r="B20" s="1"/>
    </row>
    <row r="21" spans="1:2" x14ac:dyDescent="0.55000000000000004">
      <c r="A21" s="53"/>
      <c r="B21" s="1"/>
    </row>
    <row r="22" spans="1:2" x14ac:dyDescent="0.55000000000000004">
      <c r="A22" s="53"/>
      <c r="B22" s="1"/>
    </row>
    <row r="23" spans="1:2" x14ac:dyDescent="0.55000000000000004">
      <c r="A23" s="53"/>
      <c r="B23" s="1"/>
    </row>
    <row r="24" spans="1:2" x14ac:dyDescent="0.55000000000000004">
      <c r="A24" s="53"/>
      <c r="B24" s="1"/>
    </row>
    <row r="25" spans="1:2" x14ac:dyDescent="0.55000000000000004">
      <c r="A25" s="53"/>
      <c r="B25" s="1"/>
    </row>
    <row r="26" spans="1:2" x14ac:dyDescent="0.55000000000000004">
      <c r="A26" s="53"/>
      <c r="B26" s="1"/>
    </row>
    <row r="27" spans="1:2" x14ac:dyDescent="0.55000000000000004">
      <c r="A27" s="53"/>
      <c r="B27" s="1"/>
    </row>
    <row r="28" spans="1:2" x14ac:dyDescent="0.55000000000000004">
      <c r="A28" s="53"/>
      <c r="B28" s="1"/>
    </row>
    <row r="29" spans="1:2" x14ac:dyDescent="0.55000000000000004">
      <c r="A29" s="53"/>
      <c r="B29" s="1"/>
    </row>
    <row r="30" spans="1:2" x14ac:dyDescent="0.55000000000000004">
      <c r="A30" s="53"/>
      <c r="B30" s="1"/>
    </row>
    <row r="31" spans="1:2" x14ac:dyDescent="0.55000000000000004">
      <c r="A31" s="53"/>
      <c r="B31" s="1"/>
    </row>
    <row r="32" spans="1:2" x14ac:dyDescent="0.55000000000000004">
      <c r="A32" s="53"/>
      <c r="B32" s="1"/>
    </row>
    <row r="33" spans="1:2" x14ac:dyDescent="0.55000000000000004">
      <c r="A33" s="53"/>
      <c r="B33" s="1"/>
    </row>
    <row r="34" spans="1:2" x14ac:dyDescent="0.55000000000000004">
      <c r="A34" s="53"/>
      <c r="B34" s="1"/>
    </row>
    <row r="35" spans="1:2" x14ac:dyDescent="0.55000000000000004">
      <c r="A35" s="53"/>
      <c r="B35" s="1"/>
    </row>
    <row r="36" spans="1:2" x14ac:dyDescent="0.55000000000000004">
      <c r="A36" s="53"/>
      <c r="B36" s="1"/>
    </row>
    <row r="37" spans="1:2" x14ac:dyDescent="0.55000000000000004">
      <c r="A37" s="53"/>
      <c r="B37" s="1"/>
    </row>
    <row r="38" spans="1:2" x14ac:dyDescent="0.55000000000000004">
      <c r="A38" s="53"/>
      <c r="B38" s="1"/>
    </row>
    <row r="39" spans="1:2" x14ac:dyDescent="0.55000000000000004">
      <c r="A39" s="53"/>
      <c r="B39" s="1"/>
    </row>
    <row r="40" spans="1:2" x14ac:dyDescent="0.55000000000000004">
      <c r="A40" s="53"/>
      <c r="B40" s="1"/>
    </row>
    <row r="41" spans="1:2" x14ac:dyDescent="0.55000000000000004">
      <c r="A41" s="53"/>
      <c r="B41" s="1"/>
    </row>
    <row r="42" spans="1:2" x14ac:dyDescent="0.55000000000000004">
      <c r="A42" s="53"/>
      <c r="B42" s="1"/>
    </row>
    <row r="43" spans="1:2" x14ac:dyDescent="0.55000000000000004">
      <c r="A43" s="53"/>
      <c r="B43" s="1"/>
    </row>
    <row r="44" spans="1:2" x14ac:dyDescent="0.55000000000000004">
      <c r="A44" s="53"/>
      <c r="B44" s="1"/>
    </row>
    <row r="45" spans="1:2" x14ac:dyDescent="0.55000000000000004">
      <c r="A45" s="53"/>
      <c r="B45" s="1"/>
    </row>
    <row r="46" spans="1:2" x14ac:dyDescent="0.55000000000000004">
      <c r="A46" s="53"/>
      <c r="B46" s="1"/>
    </row>
    <row r="47" spans="1:2" x14ac:dyDescent="0.55000000000000004">
      <c r="A47" s="53"/>
      <c r="B47" s="1"/>
    </row>
    <row r="48" spans="1:2" x14ac:dyDescent="0.55000000000000004">
      <c r="A48" s="53"/>
      <c r="B48" s="1"/>
    </row>
    <row r="49" spans="1:2" x14ac:dyDescent="0.55000000000000004">
      <c r="A49" s="53"/>
      <c r="B49" s="1"/>
    </row>
    <row r="50" spans="1:2" x14ac:dyDescent="0.55000000000000004">
      <c r="A50" s="53"/>
      <c r="B50" s="1"/>
    </row>
    <row r="51" spans="1:2" x14ac:dyDescent="0.55000000000000004">
      <c r="A51" s="53"/>
      <c r="B51" s="1"/>
    </row>
    <row r="52" spans="1:2" x14ac:dyDescent="0.55000000000000004">
      <c r="A52" s="53"/>
      <c r="B52" s="1"/>
    </row>
    <row r="53" spans="1:2" x14ac:dyDescent="0.55000000000000004">
      <c r="A53" s="53"/>
      <c r="B53" s="1"/>
    </row>
    <row r="54" spans="1:2" x14ac:dyDescent="0.55000000000000004">
      <c r="A54" s="53"/>
      <c r="B54" s="1"/>
    </row>
    <row r="55" spans="1:2" x14ac:dyDescent="0.55000000000000004">
      <c r="A55" s="53"/>
      <c r="B55" s="1"/>
    </row>
    <row r="56" spans="1:2" x14ac:dyDescent="0.55000000000000004">
      <c r="A56" s="53"/>
      <c r="B56" s="1"/>
    </row>
    <row r="57" spans="1:2" x14ac:dyDescent="0.55000000000000004">
      <c r="A57" s="53"/>
      <c r="B57" s="1"/>
    </row>
    <row r="58" spans="1:2" x14ac:dyDescent="0.55000000000000004">
      <c r="A58" s="53"/>
      <c r="B58" s="1"/>
    </row>
    <row r="59" spans="1:2" x14ac:dyDescent="0.55000000000000004">
      <c r="A59" s="53"/>
      <c r="B59" s="1"/>
    </row>
    <row r="60" spans="1:2" x14ac:dyDescent="0.55000000000000004">
      <c r="A60" s="53"/>
      <c r="B60" s="1"/>
    </row>
    <row r="61" spans="1:2" x14ac:dyDescent="0.55000000000000004">
      <c r="A61" s="53"/>
      <c r="B61" s="1"/>
    </row>
    <row r="62" spans="1:2" x14ac:dyDescent="0.55000000000000004">
      <c r="A62" s="53"/>
      <c r="B62" s="1"/>
    </row>
    <row r="63" spans="1:2" x14ac:dyDescent="0.55000000000000004">
      <c r="A63" s="53"/>
      <c r="B63" s="1"/>
    </row>
    <row r="64" spans="1:2" x14ac:dyDescent="0.55000000000000004">
      <c r="A64" s="53"/>
      <c r="B64" s="1"/>
    </row>
    <row r="65" spans="1:3" x14ac:dyDescent="0.55000000000000004">
      <c r="A65" s="53"/>
      <c r="B65" s="1"/>
    </row>
    <row r="66" spans="1:3" x14ac:dyDescent="0.55000000000000004">
      <c r="A66" s="54"/>
      <c r="B66" s="3"/>
      <c r="C66" s="55"/>
    </row>
    <row r="67" spans="1:3" x14ac:dyDescent="0.55000000000000004">
      <c r="A67" s="56"/>
      <c r="B67" s="2"/>
      <c r="C67" s="57"/>
    </row>
    <row r="68" spans="1:3" x14ac:dyDescent="0.55000000000000004">
      <c r="A68" s="56"/>
      <c r="B68" s="2"/>
      <c r="C68" s="57"/>
    </row>
    <row r="69" spans="1:3" x14ac:dyDescent="0.55000000000000004">
      <c r="A69" s="56"/>
      <c r="B69" s="2"/>
      <c r="C69" s="57"/>
    </row>
    <row r="70" spans="1:3" x14ac:dyDescent="0.55000000000000004">
      <c r="A70" s="56"/>
      <c r="B70" s="2"/>
      <c r="C70" s="57"/>
    </row>
    <row r="71" spans="1:3" x14ac:dyDescent="0.55000000000000004">
      <c r="A71" s="56"/>
      <c r="B71" s="2"/>
      <c r="C71" s="57"/>
    </row>
    <row r="72" spans="1:3" x14ac:dyDescent="0.55000000000000004">
      <c r="A72" s="56"/>
      <c r="B72" s="2"/>
      <c r="C72" s="57"/>
    </row>
    <row r="73" spans="1:3" x14ac:dyDescent="0.55000000000000004">
      <c r="A73" s="56"/>
      <c r="B73" s="2"/>
      <c r="C73" s="57"/>
    </row>
    <row r="74" spans="1:3" x14ac:dyDescent="0.55000000000000004">
      <c r="A74" s="53"/>
      <c r="B74" s="1"/>
    </row>
    <row r="75" spans="1:3" x14ac:dyDescent="0.55000000000000004">
      <c r="A75" s="53"/>
      <c r="B75" s="1"/>
    </row>
    <row r="76" spans="1:3" x14ac:dyDescent="0.55000000000000004">
      <c r="A76" s="53"/>
      <c r="B76" s="1"/>
    </row>
    <row r="77" spans="1:3" x14ac:dyDescent="0.55000000000000004">
      <c r="A77" s="53"/>
      <c r="B77" s="1"/>
    </row>
    <row r="78" spans="1:3" x14ac:dyDescent="0.55000000000000004">
      <c r="A78" s="53"/>
      <c r="B78" s="1"/>
    </row>
    <row r="79" spans="1:3" x14ac:dyDescent="0.55000000000000004">
      <c r="A79" s="53"/>
      <c r="B79" s="1"/>
    </row>
    <row r="80" spans="1:3" x14ac:dyDescent="0.55000000000000004">
      <c r="A80" s="53"/>
      <c r="B80" s="1"/>
    </row>
    <row r="81" spans="1:2" x14ac:dyDescent="0.55000000000000004">
      <c r="A81" s="53"/>
      <c r="B81" s="1"/>
    </row>
  </sheetData>
  <sheetProtection algorithmName="SHA-512" hashValue="X04gGVwwCgVh07BorYYezokcVdEb4lYJwjBewc/mARnqXu9IYNBu8O+UFvEUwkk3TZIYvJx7uDVE19bXQWcAEA==" saltValue="3dJmXAishmdGdR4MDpk6Iw==" spinCount="100000" sheet="1" selectLockedCells="1"/>
  <mergeCells count="1">
    <mergeCell ref="A1:C1"/>
  </mergeCells>
  <phoneticPr fontId="1"/>
  <dataValidations count="1">
    <dataValidation type="whole" operator="greaterThanOrEqual" allowBlank="1" showInputMessage="1" showErrorMessage="1" errorTitle="規定レース数 / Min. number of races" error="1以上の整数を入力してください_x000a_Please enter an integer greater than or equal to 1" promptTitle="規定レース数 / Min. number of races" prompt="グラフを得点や順位の平均値でソートした際に、何レース以上走ったコースを表示するか_x000a_（* 再起動不要）_x000a_Courses that have been run more times than this value are displayed in the pivot table　sorted by average of points or rank._x000a_(* You don't need restart this.)" sqref="C4" xr:uid="{7EB37FD6-913C-4E5D-923B-1A0D9D4328CA}">
      <formula1>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GoToGraphBtn">
          <controlPr defaultSize="0" autoLine="0" r:id="rId4">
            <anchor>
              <from>
                <xdr:col>3</xdr:col>
                <xdr:colOff>171450</xdr:colOff>
                <xdr:row>0</xdr:row>
                <xdr:rowOff>31750</xdr:rowOff>
              </from>
              <to>
                <xdr:col>3</xdr:col>
                <xdr:colOff>1695450</xdr:colOff>
                <xdr:row>1</xdr:row>
                <xdr:rowOff>69850</xdr:rowOff>
              </to>
            </anchor>
          </controlPr>
        </control>
      </mc:Choice>
      <mc:Fallback>
        <control shapeId="2051" r:id="rId3" name="GoToGraphBtn"/>
      </mc:Fallback>
    </mc:AlternateContent>
    <mc:AlternateContent xmlns:mc="http://schemas.openxmlformats.org/markup-compatibility/2006">
      <mc:Choice Requires="x14">
        <control shapeId="2049" r:id="rId5" name="RestartButton">
          <controlPr defaultSize="0" autoLine="0" r:id="rId6">
            <anchor>
              <from>
                <xdr:col>3</xdr:col>
                <xdr:colOff>171450</xdr:colOff>
                <xdr:row>1</xdr:row>
                <xdr:rowOff>76200</xdr:rowOff>
              </from>
              <to>
                <xdr:col>3</xdr:col>
                <xdr:colOff>1441450</xdr:colOff>
                <xdr:row>3</xdr:row>
                <xdr:rowOff>31750</xdr:rowOff>
              </to>
            </anchor>
          </controlPr>
        </control>
      </mc:Choice>
      <mc:Fallback>
        <control shapeId="2049" r:id="rId5" name="Restar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入力項目の言語設定（開発途中）_x000a__x000a_Language setting of inputs (developing)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I97"/>
  <sheetViews>
    <sheetView workbookViewId="0"/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9" x14ac:dyDescent="0.55000000000000004">
      <c r="A1" s="5" t="s">
        <v>415</v>
      </c>
      <c r="C1" s="1" t="s">
        <v>389</v>
      </c>
      <c r="D1" s="1" t="s">
        <v>387</v>
      </c>
      <c r="E1" t="s">
        <v>414</v>
      </c>
      <c r="F1" t="s">
        <v>414</v>
      </c>
      <c r="G1">
        <v>0</v>
      </c>
      <c r="H1">
        <v>0</v>
      </c>
      <c r="I1">
        <v>0</v>
      </c>
    </row>
    <row r="2" spans="1:9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400</v>
      </c>
    </row>
    <row r="3" spans="1:9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401</v>
      </c>
    </row>
    <row r="4" spans="1:9" x14ac:dyDescent="0.55000000000000004">
      <c r="A4" s="1" t="s">
        <v>2</v>
      </c>
      <c r="B4" s="1" t="s">
        <v>26</v>
      </c>
      <c r="E4" s="1" t="s">
        <v>369</v>
      </c>
      <c r="F4" s="1" t="s">
        <v>402</v>
      </c>
    </row>
    <row r="5" spans="1:9" x14ac:dyDescent="0.55000000000000004">
      <c r="A5" s="1" t="s">
        <v>3</v>
      </c>
      <c r="B5" s="1" t="s">
        <v>27</v>
      </c>
      <c r="E5" s="1" t="s">
        <v>370</v>
      </c>
      <c r="F5" s="1" t="s">
        <v>403</v>
      </c>
    </row>
    <row r="6" spans="1:9" x14ac:dyDescent="0.55000000000000004">
      <c r="A6" s="1" t="s">
        <v>4</v>
      </c>
      <c r="B6" s="1" t="s">
        <v>28</v>
      </c>
      <c r="E6" s="1" t="s">
        <v>371</v>
      </c>
      <c r="F6" s="1" t="s">
        <v>404</v>
      </c>
    </row>
    <row r="7" spans="1:9" x14ac:dyDescent="0.55000000000000004">
      <c r="A7" s="1" t="s">
        <v>5</v>
      </c>
      <c r="B7" s="1" t="s">
        <v>29</v>
      </c>
      <c r="E7" s="1" t="s">
        <v>372</v>
      </c>
    </row>
    <row r="8" spans="1:9" x14ac:dyDescent="0.55000000000000004">
      <c r="A8" s="1" t="s">
        <v>6</v>
      </c>
      <c r="B8" s="1" t="s">
        <v>30</v>
      </c>
      <c r="E8" s="1" t="s">
        <v>373</v>
      </c>
    </row>
    <row r="9" spans="1:9" x14ac:dyDescent="0.55000000000000004">
      <c r="A9" s="1" t="s">
        <v>7</v>
      </c>
      <c r="B9" s="1" t="s">
        <v>31</v>
      </c>
      <c r="E9" s="1" t="s">
        <v>374</v>
      </c>
    </row>
    <row r="10" spans="1:9" x14ac:dyDescent="0.55000000000000004">
      <c r="A10" s="1" t="s">
        <v>173</v>
      </c>
      <c r="B10" s="1" t="s">
        <v>32</v>
      </c>
      <c r="E10" s="1" t="s">
        <v>375</v>
      </c>
    </row>
    <row r="11" spans="1:9" x14ac:dyDescent="0.55000000000000004">
      <c r="A11" s="1" t="s">
        <v>8</v>
      </c>
      <c r="B11" s="1" t="s">
        <v>33</v>
      </c>
      <c r="E11" s="1" t="s">
        <v>376</v>
      </c>
    </row>
    <row r="12" spans="1:9" x14ac:dyDescent="0.55000000000000004">
      <c r="A12" s="1" t="s">
        <v>9</v>
      </c>
      <c r="B12" s="1" t="s">
        <v>34</v>
      </c>
      <c r="E12" s="1" t="s">
        <v>377</v>
      </c>
    </row>
    <row r="13" spans="1:9" x14ac:dyDescent="0.55000000000000004">
      <c r="A13" s="1" t="s">
        <v>10</v>
      </c>
      <c r="B13" s="1" t="s">
        <v>35</v>
      </c>
      <c r="E13" s="1" t="s">
        <v>378</v>
      </c>
    </row>
    <row r="14" spans="1:9" x14ac:dyDescent="0.55000000000000004">
      <c r="A14" s="1" t="s">
        <v>11</v>
      </c>
      <c r="B14" s="1" t="s">
        <v>36</v>
      </c>
      <c r="E14" s="1" t="s">
        <v>379</v>
      </c>
    </row>
    <row r="15" spans="1:9" x14ac:dyDescent="0.55000000000000004">
      <c r="A15" s="1" t="s">
        <v>12</v>
      </c>
      <c r="B15" s="1" t="s">
        <v>37</v>
      </c>
      <c r="E15" s="1" t="s">
        <v>380</v>
      </c>
    </row>
    <row r="16" spans="1:9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397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  <row r="82" spans="1:2" x14ac:dyDescent="0.55000000000000004">
      <c r="A82" s="1" t="s">
        <v>431</v>
      </c>
      <c r="B82" s="1" t="s">
        <v>447</v>
      </c>
    </row>
    <row r="83" spans="1:2" x14ac:dyDescent="0.55000000000000004">
      <c r="A83" s="1" t="s">
        <v>432</v>
      </c>
      <c r="B83" s="1" t="s">
        <v>448</v>
      </c>
    </row>
    <row r="84" spans="1:2" x14ac:dyDescent="0.55000000000000004">
      <c r="A84" s="1" t="s">
        <v>433</v>
      </c>
      <c r="B84" s="1" t="s">
        <v>449</v>
      </c>
    </row>
    <row r="85" spans="1:2" x14ac:dyDescent="0.55000000000000004">
      <c r="A85" s="1" t="s">
        <v>434</v>
      </c>
      <c r="B85" s="1" t="s">
        <v>450</v>
      </c>
    </row>
    <row r="86" spans="1:2" x14ac:dyDescent="0.55000000000000004">
      <c r="A86" s="1" t="s">
        <v>435</v>
      </c>
      <c r="B86" s="1" t="s">
        <v>451</v>
      </c>
    </row>
    <row r="87" spans="1:2" x14ac:dyDescent="0.55000000000000004">
      <c r="A87" s="1" t="s">
        <v>436</v>
      </c>
      <c r="B87" s="1" t="s">
        <v>452</v>
      </c>
    </row>
    <row r="88" spans="1:2" x14ac:dyDescent="0.55000000000000004">
      <c r="A88" s="1" t="s">
        <v>437</v>
      </c>
      <c r="B88" s="1" t="s">
        <v>453</v>
      </c>
    </row>
    <row r="89" spans="1:2" x14ac:dyDescent="0.55000000000000004">
      <c r="A89" s="1" t="s">
        <v>438</v>
      </c>
      <c r="B89" s="1" t="s">
        <v>454</v>
      </c>
    </row>
    <row r="90" spans="1:2" x14ac:dyDescent="0.55000000000000004">
      <c r="A90" s="1" t="s">
        <v>470</v>
      </c>
      <c r="B90" s="1" t="s">
        <v>493</v>
      </c>
    </row>
    <row r="91" spans="1:2" x14ac:dyDescent="0.55000000000000004">
      <c r="A91" s="1" t="s">
        <v>471</v>
      </c>
      <c r="B91" s="1" t="s">
        <v>494</v>
      </c>
    </row>
    <row r="92" spans="1:2" x14ac:dyDescent="0.55000000000000004">
      <c r="A92" s="1" t="s">
        <v>472</v>
      </c>
      <c r="B92" s="1" t="s">
        <v>495</v>
      </c>
    </row>
    <row r="93" spans="1:2" x14ac:dyDescent="0.55000000000000004">
      <c r="A93" s="1" t="s">
        <v>473</v>
      </c>
      <c r="B93" s="1" t="s">
        <v>496</v>
      </c>
    </row>
    <row r="94" spans="1:2" x14ac:dyDescent="0.55000000000000004">
      <c r="A94" s="1" t="s">
        <v>477</v>
      </c>
      <c r="B94" s="1" t="s">
        <v>497</v>
      </c>
    </row>
    <row r="95" spans="1:2" x14ac:dyDescent="0.55000000000000004">
      <c r="A95" s="1" t="s">
        <v>476</v>
      </c>
      <c r="B95" s="1" t="s">
        <v>498</v>
      </c>
    </row>
    <row r="96" spans="1:2" x14ac:dyDescent="0.55000000000000004">
      <c r="A96" s="1" t="s">
        <v>475</v>
      </c>
      <c r="B96" s="1" t="s">
        <v>499</v>
      </c>
    </row>
    <row r="97" spans="1:2" x14ac:dyDescent="0.55000000000000004">
      <c r="A97" s="1" t="s">
        <v>474</v>
      </c>
      <c r="B97" s="1" t="s">
        <v>500</v>
      </c>
    </row>
  </sheetData>
  <sheetProtection algorithmName="SHA-512" hashValue="24VEsSJrE2+ytg0tpInDWhIPh7sODYLBGyALWCnM/7xWsYc42QsdVyIGWCM0tLAGF0YROAGcA5cq8RbdrSTDMg==" saltValue="keb91+jB8WOF6M92t5ltZ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F97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16384" width="8.6640625" style="1"/>
  </cols>
  <sheetData>
    <row r="1" spans="1:6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</row>
    <row r="2" spans="1:6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</row>
    <row r="3" spans="1:6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</row>
    <row r="4" spans="1:6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</row>
    <row r="5" spans="1:6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</row>
    <row r="6" spans="1:6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</row>
    <row r="7" spans="1:6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</row>
    <row r="8" spans="1:6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</row>
    <row r="9" spans="1:6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</row>
    <row r="10" spans="1:6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</row>
    <row r="11" spans="1:6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</row>
    <row r="12" spans="1:6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</row>
    <row r="13" spans="1:6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</row>
    <row r="14" spans="1:6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</row>
    <row r="15" spans="1:6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</row>
    <row r="16" spans="1:6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</row>
    <row r="17" spans="1:6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</row>
    <row r="18" spans="1:6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</row>
    <row r="19" spans="1:6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</row>
    <row r="20" spans="1:6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</row>
    <row r="21" spans="1:6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</row>
    <row r="22" spans="1:6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</row>
    <row r="23" spans="1:6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</row>
    <row r="24" spans="1:6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</row>
    <row r="25" spans="1:6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</row>
    <row r="26" spans="1:6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</row>
    <row r="27" spans="1:6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</row>
    <row r="28" spans="1:6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</row>
    <row r="29" spans="1:6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</row>
    <row r="30" spans="1:6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</row>
    <row r="31" spans="1:6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</row>
    <row r="32" spans="1:6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</row>
    <row r="33" spans="1:6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</row>
    <row r="34" spans="1:6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</row>
    <row r="35" spans="1:6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</row>
    <row r="36" spans="1:6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</row>
    <row r="37" spans="1:6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</row>
    <row r="38" spans="1:6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</row>
    <row r="39" spans="1:6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</row>
    <row r="40" spans="1:6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</row>
    <row r="41" spans="1:6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</row>
    <row r="42" spans="1:6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</row>
    <row r="43" spans="1:6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</row>
    <row r="44" spans="1:6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</row>
    <row r="45" spans="1:6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</row>
    <row r="46" spans="1:6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</row>
    <row r="47" spans="1:6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</row>
    <row r="48" spans="1:6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</row>
    <row r="49" spans="1:6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</row>
    <row r="50" spans="1:6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</row>
    <row r="51" spans="1:6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</row>
    <row r="52" spans="1:6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</row>
    <row r="53" spans="1:6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</row>
    <row r="54" spans="1:6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</row>
    <row r="55" spans="1:6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</row>
    <row r="56" spans="1:6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</row>
    <row r="57" spans="1:6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</row>
    <row r="58" spans="1:6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</row>
    <row r="59" spans="1:6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</row>
    <row r="60" spans="1:6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</row>
    <row r="61" spans="1:6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</row>
    <row r="62" spans="1:6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</row>
    <row r="63" spans="1:6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</row>
    <row r="64" spans="1:6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</row>
    <row r="65" spans="1:6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</row>
    <row r="66" spans="1:6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</row>
    <row r="67" spans="1:6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</row>
    <row r="68" spans="1:6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</row>
    <row r="69" spans="1:6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</row>
    <row r="70" spans="1:6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</row>
    <row r="71" spans="1:6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</row>
    <row r="72" spans="1:6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</row>
    <row r="73" spans="1:6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</row>
    <row r="74" spans="1:6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</row>
    <row r="75" spans="1:6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</row>
    <row r="76" spans="1:6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</row>
    <row r="77" spans="1:6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</row>
    <row r="78" spans="1:6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</row>
    <row r="79" spans="1:6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</row>
    <row r="80" spans="1:6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</row>
    <row r="81" spans="1:6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</row>
    <row r="82" spans="1:6" x14ac:dyDescent="0.55000000000000004">
      <c r="A82" s="1" t="s">
        <v>447</v>
      </c>
      <c r="B82" s="1" t="s">
        <v>431</v>
      </c>
      <c r="C82" s="1" t="s">
        <v>439</v>
      </c>
      <c r="D82" s="2" t="s">
        <v>455</v>
      </c>
      <c r="E82" s="1" t="s">
        <v>460</v>
      </c>
      <c r="F82" s="1">
        <v>1</v>
      </c>
    </row>
    <row r="83" spans="1:6" x14ac:dyDescent="0.55000000000000004">
      <c r="A83" s="1" t="s">
        <v>448</v>
      </c>
      <c r="B83" s="1" t="s">
        <v>432</v>
      </c>
      <c r="C83" s="1" t="s">
        <v>440</v>
      </c>
      <c r="D83" s="2" t="s">
        <v>456</v>
      </c>
      <c r="E83" s="1" t="s">
        <v>460</v>
      </c>
      <c r="F83" s="1">
        <v>2</v>
      </c>
    </row>
    <row r="84" spans="1:6" x14ac:dyDescent="0.55000000000000004">
      <c r="A84" s="1" t="s">
        <v>449</v>
      </c>
      <c r="B84" s="1" t="s">
        <v>433</v>
      </c>
      <c r="C84" s="1" t="s">
        <v>441</v>
      </c>
      <c r="D84" s="2" t="s">
        <v>457</v>
      </c>
      <c r="E84" s="1" t="s">
        <v>460</v>
      </c>
      <c r="F84" s="1">
        <v>3</v>
      </c>
    </row>
    <row r="85" spans="1:6" x14ac:dyDescent="0.55000000000000004">
      <c r="A85" s="1" t="s">
        <v>450</v>
      </c>
      <c r="B85" s="1" t="s">
        <v>434</v>
      </c>
      <c r="C85" s="1" t="s">
        <v>442</v>
      </c>
      <c r="D85" s="2" t="s">
        <v>458</v>
      </c>
      <c r="E85" s="1" t="s">
        <v>460</v>
      </c>
      <c r="F85" s="1">
        <v>4</v>
      </c>
    </row>
    <row r="86" spans="1:6" x14ac:dyDescent="0.55000000000000004">
      <c r="A86" s="1" t="s">
        <v>451</v>
      </c>
      <c r="B86" s="1" t="s">
        <v>435</v>
      </c>
      <c r="C86" s="1" t="s">
        <v>443</v>
      </c>
      <c r="D86" s="2" t="s">
        <v>455</v>
      </c>
      <c r="E86" s="1" t="s">
        <v>466</v>
      </c>
      <c r="F86" s="1">
        <v>1</v>
      </c>
    </row>
    <row r="87" spans="1:6" x14ac:dyDescent="0.55000000000000004">
      <c r="A87" s="1" t="s">
        <v>452</v>
      </c>
      <c r="B87" s="1" t="s">
        <v>436</v>
      </c>
      <c r="C87" s="1" t="s">
        <v>444</v>
      </c>
      <c r="D87" s="2" t="s">
        <v>459</v>
      </c>
      <c r="E87" s="1" t="s">
        <v>466</v>
      </c>
      <c r="F87" s="1">
        <v>2</v>
      </c>
    </row>
    <row r="88" spans="1:6" x14ac:dyDescent="0.55000000000000004">
      <c r="A88" s="1" t="s">
        <v>453</v>
      </c>
      <c r="B88" s="1" t="s">
        <v>437</v>
      </c>
      <c r="C88" s="1" t="s">
        <v>445</v>
      </c>
      <c r="D88" s="2" t="s">
        <v>457</v>
      </c>
      <c r="E88" s="1" t="s">
        <v>466</v>
      </c>
      <c r="F88" s="1">
        <v>3</v>
      </c>
    </row>
    <row r="89" spans="1:6" x14ac:dyDescent="0.55000000000000004">
      <c r="A89" s="1" t="s">
        <v>454</v>
      </c>
      <c r="B89" s="1" t="s">
        <v>438</v>
      </c>
      <c r="C89" s="1" t="s">
        <v>446</v>
      </c>
      <c r="D89" s="2" t="s">
        <v>455</v>
      </c>
      <c r="E89" s="1" t="s">
        <v>466</v>
      </c>
      <c r="F89" s="1">
        <v>4</v>
      </c>
    </row>
    <row r="90" spans="1:6" x14ac:dyDescent="0.55000000000000004">
      <c r="A90" s="1" t="s">
        <v>493</v>
      </c>
      <c r="B90" s="1" t="s">
        <v>470</v>
      </c>
      <c r="C90" s="1" t="s">
        <v>478</v>
      </c>
      <c r="D90" s="2" t="s">
        <v>486</v>
      </c>
      <c r="E90" s="1" t="s">
        <v>491</v>
      </c>
      <c r="F90" s="1">
        <v>1</v>
      </c>
    </row>
    <row r="91" spans="1:6" x14ac:dyDescent="0.55000000000000004">
      <c r="A91" s="1" t="s">
        <v>494</v>
      </c>
      <c r="B91" s="1" t="s">
        <v>471</v>
      </c>
      <c r="C91" s="1" t="s">
        <v>479</v>
      </c>
      <c r="D91" s="2" t="s">
        <v>487</v>
      </c>
      <c r="E91" s="1" t="s">
        <v>491</v>
      </c>
      <c r="F91" s="1">
        <v>2</v>
      </c>
    </row>
    <row r="92" spans="1:6" x14ac:dyDescent="0.55000000000000004">
      <c r="A92" s="1" t="s">
        <v>495</v>
      </c>
      <c r="B92" s="1" t="s">
        <v>472</v>
      </c>
      <c r="C92" s="1" t="s">
        <v>480</v>
      </c>
      <c r="D92" s="2" t="s">
        <v>488</v>
      </c>
      <c r="E92" s="1" t="s">
        <v>491</v>
      </c>
      <c r="F92" s="1">
        <v>3</v>
      </c>
    </row>
    <row r="93" spans="1:6" x14ac:dyDescent="0.55000000000000004">
      <c r="A93" s="1" t="s">
        <v>496</v>
      </c>
      <c r="B93" s="1" t="s">
        <v>473</v>
      </c>
      <c r="C93" s="1" t="s">
        <v>481</v>
      </c>
      <c r="D93" s="2" t="s">
        <v>486</v>
      </c>
      <c r="E93" s="1" t="s">
        <v>491</v>
      </c>
      <c r="F93" s="1">
        <v>4</v>
      </c>
    </row>
    <row r="94" spans="1:6" x14ac:dyDescent="0.55000000000000004">
      <c r="A94" s="1" t="s">
        <v>497</v>
      </c>
      <c r="B94" s="1" t="s">
        <v>477</v>
      </c>
      <c r="C94" s="1" t="s">
        <v>482</v>
      </c>
      <c r="D94" s="2" t="s">
        <v>486</v>
      </c>
      <c r="E94" s="1" t="s">
        <v>492</v>
      </c>
      <c r="F94" s="1">
        <v>1</v>
      </c>
    </row>
    <row r="95" spans="1:6" x14ac:dyDescent="0.55000000000000004">
      <c r="A95" s="1" t="s">
        <v>498</v>
      </c>
      <c r="B95" s="1" t="s">
        <v>476</v>
      </c>
      <c r="C95" s="1" t="s">
        <v>483</v>
      </c>
      <c r="D95" s="2" t="s">
        <v>489</v>
      </c>
      <c r="E95" s="1" t="s">
        <v>492</v>
      </c>
      <c r="F95" s="1">
        <v>2</v>
      </c>
    </row>
    <row r="96" spans="1:6" x14ac:dyDescent="0.55000000000000004">
      <c r="A96" s="1" t="s">
        <v>499</v>
      </c>
      <c r="B96" s="1" t="s">
        <v>475</v>
      </c>
      <c r="C96" s="1" t="s">
        <v>484</v>
      </c>
      <c r="D96" s="2" t="s">
        <v>490</v>
      </c>
      <c r="E96" s="1" t="s">
        <v>492</v>
      </c>
      <c r="F96" s="1">
        <v>3</v>
      </c>
    </row>
    <row r="97" spans="1:6" x14ac:dyDescent="0.55000000000000004">
      <c r="A97" s="1" t="s">
        <v>500</v>
      </c>
      <c r="B97" s="1" t="s">
        <v>474</v>
      </c>
      <c r="C97" s="1" t="s">
        <v>485</v>
      </c>
      <c r="D97" s="2" t="s">
        <v>488</v>
      </c>
      <c r="E97" s="1" t="s">
        <v>492</v>
      </c>
      <c r="F97" s="1">
        <v>4</v>
      </c>
    </row>
  </sheetData>
  <sheetProtection algorithmName="SHA-512" hashValue="5c4N31f7rD9twNtUJIbKG9rehBMriHuOvyNPokSmg1A6GC+Yp1YTpo0WgbERjhcnwoOc7gDt3Z6erScIDA1jMg==" saltValue="wxkzrTzRMQbnFT4OAaRcu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/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22" spans="1:5" x14ac:dyDescent="0.55000000000000004">
      <c r="A22" s="1" t="s">
        <v>460</v>
      </c>
      <c r="B22" s="1" t="s">
        <v>461</v>
      </c>
      <c r="C22" s="1" t="s">
        <v>462</v>
      </c>
      <c r="D22" s="1">
        <v>21</v>
      </c>
      <c r="E22" s="1" t="s">
        <v>463</v>
      </c>
    </row>
    <row r="23" spans="1:5" x14ac:dyDescent="0.55000000000000004">
      <c r="A23" s="1" t="s">
        <v>466</v>
      </c>
      <c r="B23" s="1" t="s">
        <v>465</v>
      </c>
      <c r="C23" s="1" t="s">
        <v>464</v>
      </c>
      <c r="D23" s="1">
        <v>22</v>
      </c>
      <c r="E23" s="1" t="s">
        <v>463</v>
      </c>
    </row>
    <row r="24" spans="1:5" x14ac:dyDescent="0.55000000000000004">
      <c r="A24" s="1" t="s">
        <v>501</v>
      </c>
      <c r="B24" s="1" t="s">
        <v>503</v>
      </c>
      <c r="C24" s="1" t="s">
        <v>505</v>
      </c>
      <c r="D24" s="1">
        <v>23</v>
      </c>
      <c r="E24" s="1" t="s">
        <v>507</v>
      </c>
    </row>
    <row r="25" spans="1:5" x14ac:dyDescent="0.55000000000000004">
      <c r="A25" s="1" t="s">
        <v>502</v>
      </c>
      <c r="B25" s="1" t="s">
        <v>504</v>
      </c>
      <c r="C25" s="1" t="s">
        <v>506</v>
      </c>
      <c r="D25" s="1">
        <v>24</v>
      </c>
      <c r="E25" s="1" t="s">
        <v>507</v>
      </c>
    </row>
    <row r="66" s="2" customFormat="1" x14ac:dyDescent="0.55000000000000004"/>
  </sheetData>
  <sheetProtection algorithmName="SHA-512" hashValue="YG5NOvIO9jf08IcxCbi2sS3ESN/Gvqp210gcHxgJwbVCZjcj6XH/TN8nozG59saWM6C2mh/vhwteo1xw4FbUpg==" saltValue="BKlcJyZxkw3yOmti70agPw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activeCell="A28" sqref="A28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396</v>
      </c>
      <c r="B17" s="1" t="s">
        <v>397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398</v>
      </c>
      <c r="B1" s="4" t="s">
        <v>399</v>
      </c>
      <c r="C1" s="4" t="s">
        <v>99</v>
      </c>
    </row>
    <row r="2" spans="1:3" x14ac:dyDescent="0.55000000000000004">
      <c r="A2" s="1">
        <v>1</v>
      </c>
      <c r="B2" s="1" t="s">
        <v>400</v>
      </c>
      <c r="C2" s="1">
        <v>1</v>
      </c>
    </row>
    <row r="3" spans="1:3" x14ac:dyDescent="0.55000000000000004">
      <c r="A3" s="1">
        <v>2</v>
      </c>
      <c r="B3" s="1" t="s">
        <v>401</v>
      </c>
      <c r="C3" s="1">
        <v>2</v>
      </c>
    </row>
    <row r="4" spans="1:3" x14ac:dyDescent="0.55000000000000004">
      <c r="A4" s="1">
        <v>3</v>
      </c>
      <c r="B4" s="1" t="s">
        <v>402</v>
      </c>
      <c r="C4" s="1">
        <v>3</v>
      </c>
    </row>
    <row r="5" spans="1:3" x14ac:dyDescent="0.55000000000000004">
      <c r="A5" s="1">
        <v>4</v>
      </c>
      <c r="B5" s="1" t="s">
        <v>403</v>
      </c>
      <c r="C5" s="1">
        <v>4</v>
      </c>
    </row>
    <row r="6" spans="1:3" x14ac:dyDescent="0.55000000000000004">
      <c r="A6" s="1">
        <v>6</v>
      </c>
      <c r="B6" s="1" t="s">
        <v>404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>
      <selection activeCell="C2" sqref="C2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/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佑太郎 臼井</cp:lastModifiedBy>
  <dcterms:created xsi:type="dcterms:W3CDTF">2022-07-02T07:52:08Z</dcterms:created>
  <dcterms:modified xsi:type="dcterms:W3CDTF">2023-11-02T16:24:07Z</dcterms:modified>
</cp:coreProperties>
</file>